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45" yWindow="525" windowWidth="12120" windowHeight="6330" tabRatio="511" activeTab="4"/>
  </bookViews>
  <sheets>
    <sheet name="Summary" sheetId="32" r:id="rId1"/>
    <sheet name="Page_Load" sheetId="33" r:id="rId2"/>
    <sheet name="Display_Records_Button" sheetId="37" r:id="rId3"/>
    <sheet name="1_Click" sheetId="38" r:id="rId4"/>
    <sheet name="2_Click" sheetId="39" r:id="rId5"/>
    <sheet name="Template" sheetId="21" state="hidden" r:id="rId6"/>
  </sheets>
  <functionGroups/>
  <definedNames>
    <definedName name="_1A02_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3">'1_Click'!$H$17:$AF$17</definedName>
    <definedName name="BugCount" localSheetId="4">'2_Click'!$H$17:$AF$17</definedName>
    <definedName name="BugCount" localSheetId="2">Display_Records_Button!$H$34:$AF$34</definedName>
    <definedName name="BugCount" localSheetId="1">Page_Load!$H$31:$AF$31</definedName>
    <definedName name="BugCount">Template!$H$29:$AF$29</definedName>
    <definedName name="BugSheetName" localSheetId="3">'1_Click'!$F$16</definedName>
    <definedName name="BugSheetName" localSheetId="4">'2_Click'!$F$16</definedName>
    <definedName name="BugSheetName" localSheetId="2">Display_Records_Button!$F$33</definedName>
    <definedName name="BugSheetName" localSheetId="1">Page_Load!$F$30</definedName>
    <definedName name="BugSheetName">Template!$F$28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Summary!$14:$14</definedName>
    <definedName name="_xlnm.Print_Area" localSheetId="3">'1_Click'!$A$1:$AF$18</definedName>
    <definedName name="_xlnm.Print_Area" localSheetId="4">'2_Click'!$A$1:$AF$18</definedName>
    <definedName name="_xlnm.Print_Area" localSheetId="2">Display_Records_Button!$A$1:$AF$35</definedName>
    <definedName name="_xlnm.Print_Area" localSheetId="1">Page_Load!$A$1:$AF$32</definedName>
    <definedName name="_xlnm.Print_Area" localSheetId="0">Summary!$A$5:$AM$34</definedName>
    <definedName name="_xlnm.Print_Area" localSheetId="5">Template!$A$1:$AF$30</definedName>
    <definedName name="_xlnm.Print_Titles" localSheetId="3">'1_Click'!$1:$3</definedName>
    <definedName name="_xlnm.Print_Titles" localSheetId="4">'2_Click'!$1:$3</definedName>
    <definedName name="_xlnm.Print_Titles" localSheetId="2">Display_Records_Button!$1:$3</definedName>
    <definedName name="_xlnm.Print_Titles" localSheetId="1">Page_Load!$1:$3</definedName>
    <definedName name="_xlnm.Print_Titles" localSheetId="0">Summary!$5:$9</definedName>
    <definedName name="_xlnm.Print_Titles" localSheetId="5">Template!$1:$3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Summary!$AI$15</definedName>
    <definedName name="SummaryTotal">Summary!$B$15:$AL$16</definedName>
    <definedName name="SummaryTRNA">Summary!$X$15</definedName>
    <definedName name="SummaryTRNG">Summary!$R$15</definedName>
    <definedName name="SummaryTROK">Summary!$O$15</definedName>
    <definedName name="SummaryTRPT">Summary!$U$15</definedName>
    <definedName name="SummaryTTC">Summary!$K$15</definedName>
    <definedName name="SummaryTTD">Summary!$AA$15</definedName>
    <definedName name="SummaryTTND">Summary!$AE$15</definedName>
    <definedName name="TestResult" localSheetId="3">'1_Click'!$G$15</definedName>
    <definedName name="TestResult" localSheetId="4">'2_Click'!$G$15</definedName>
    <definedName name="TestResult" localSheetId="2">Display_Records_Button!$G$32</definedName>
    <definedName name="TestResult" localSheetId="1">Page_Load!$G$29</definedName>
    <definedName name="TestResult">Template!$G$27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AF17" i="39"/>
  <c r="AE17"/>
  <c r="AD17"/>
  <c r="AC17"/>
  <c r="AB17"/>
  <c r="AA17"/>
  <c r="Z17"/>
  <c r="Y17"/>
  <c r="X17"/>
  <c r="W17"/>
  <c r="V17"/>
  <c r="U17"/>
  <c r="T17"/>
  <c r="S17"/>
  <c r="AI13" i="32"/>
  <c r="O13"/>
  <c r="R13"/>
  <c r="U13"/>
  <c r="X13"/>
  <c r="F16" i="39"/>
  <c r="AA13" i="32" l="1"/>
  <c r="AF3" i="39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H3"/>
  <c r="I3" s="1"/>
  <c r="AF17" i="38"/>
  <c r="AE17"/>
  <c r="AD17"/>
  <c r="AC17"/>
  <c r="AB17"/>
  <c r="AA17"/>
  <c r="Z17"/>
  <c r="Y17"/>
  <c r="X17"/>
  <c r="W17"/>
  <c r="V17"/>
  <c r="U17"/>
  <c r="T17"/>
  <c r="S17"/>
  <c r="K13" i="32"/>
  <c r="R12"/>
  <c r="AI12"/>
  <c r="O12"/>
  <c r="U12"/>
  <c r="X12"/>
  <c r="F16" i="38"/>
  <c r="AE13" i="32" l="1"/>
  <c r="AA12"/>
  <c r="AF3" i="38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H3"/>
  <c r="I3" s="1"/>
  <c r="AF34" i="37"/>
  <c r="AE34"/>
  <c r="AD34"/>
  <c r="AC34"/>
  <c r="AB34"/>
  <c r="AA34"/>
  <c r="Z34"/>
  <c r="Y34"/>
  <c r="X34"/>
  <c r="W34"/>
  <c r="V34"/>
  <c r="U34"/>
  <c r="T34"/>
  <c r="S34"/>
  <c r="K12" i="32"/>
  <c r="U11"/>
  <c r="X11"/>
  <c r="AI11"/>
  <c r="O11"/>
  <c r="R11"/>
  <c r="F33" i="37"/>
  <c r="AE12" i="32" l="1"/>
  <c r="AA11"/>
  <c r="AF3" i="37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H3"/>
  <c r="I3" s="1"/>
  <c r="J3" s="1"/>
  <c r="K11" i="32"/>
  <c r="AE11" l="1"/>
  <c r="AF31" i="33" l="1"/>
  <c r="AE31"/>
  <c r="AD31"/>
  <c r="AC31"/>
  <c r="AB31"/>
  <c r="AA31"/>
  <c r="Z31"/>
  <c r="Y31"/>
  <c r="X31"/>
  <c r="W31"/>
  <c r="V31"/>
  <c r="U31"/>
  <c r="T31"/>
  <c r="S31"/>
  <c r="AF3"/>
  <c r="AE3"/>
  <c r="AD3"/>
  <c r="AC3"/>
  <c r="AB3"/>
  <c r="AA3"/>
  <c r="Z3"/>
  <c r="Y3"/>
  <c r="X3"/>
  <c r="W3"/>
  <c r="V3"/>
  <c r="U3"/>
  <c r="T3"/>
  <c r="S3"/>
  <c r="R3"/>
  <c r="Q3"/>
  <c r="H3"/>
  <c r="I3" s="1"/>
  <c r="J3" s="1"/>
  <c r="K3" s="1"/>
  <c r="L3" s="1"/>
  <c r="M3" s="1"/>
  <c r="N3" s="1"/>
  <c r="O3" s="1"/>
  <c r="P3" s="1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F28" i="21"/>
  <c r="F30" i="33"/>
  <c r="O10" i="32"/>
  <c r="R10"/>
  <c r="AI10"/>
  <c r="U10"/>
  <c r="X10"/>
  <c r="K10"/>
  <c r="AA3" l="1"/>
  <c r="AE3" s="1"/>
  <c r="O15"/>
  <c r="AA10"/>
  <c r="AE10" s="1"/>
  <c r="X15"/>
  <c r="K15"/>
  <c r="U15"/>
  <c r="AI15"/>
  <c r="R15"/>
  <c r="R16" l="1"/>
  <c r="AA15"/>
  <c r="AA16" s="1"/>
  <c r="AE15"/>
  <c r="AE16" s="1"/>
  <c r="U16"/>
  <c r="O16"/>
  <c r="X16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6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<sst xmlns="http://schemas.openxmlformats.org/spreadsheetml/2006/main" count="295" uniqueCount="120">
  <si>
    <t>Creators Name</t>
    <phoneticPr fontId="2"/>
  </si>
  <si>
    <t>Test Result</t>
    <phoneticPr fontId="2"/>
  </si>
  <si>
    <t>Total</t>
    <phoneticPr fontId="2"/>
  </si>
  <si>
    <t>% of Total</t>
    <phoneticPr fontId="2"/>
  </si>
  <si>
    <t>Module Code</t>
    <phoneticPr fontId="2"/>
  </si>
  <si>
    <t>Project Code</t>
    <phoneticPr fontId="2"/>
  </si>
  <si>
    <t>&lt;Project Name&gt;</t>
    <phoneticPr fontId="2"/>
  </si>
  <si>
    <t>&lt;Module Name&gt;</t>
    <phoneticPr fontId="2"/>
  </si>
  <si>
    <t>&lt;code&gt;</t>
    <phoneticPr fontId="2"/>
  </si>
  <si>
    <t>&lt;Person Name&gt;</t>
    <phoneticPr fontId="2"/>
  </si>
  <si>
    <t>Date</t>
    <phoneticPr fontId="2"/>
  </si>
  <si>
    <t>&lt;Function Name&gt;</t>
    <phoneticPr fontId="2"/>
  </si>
  <si>
    <t>Page</t>
    <phoneticPr fontId="2"/>
  </si>
  <si>
    <t>1</t>
    <phoneticPr fontId="2"/>
  </si>
  <si>
    <t>New PCL</t>
    <phoneticPr fontId="2"/>
  </si>
  <si>
    <t>No</t>
    <phoneticPr fontId="2"/>
  </si>
  <si>
    <t>Function Name</t>
    <phoneticPr fontId="2"/>
  </si>
  <si>
    <t>OK</t>
    <phoneticPr fontId="2"/>
  </si>
  <si>
    <t>NG</t>
    <phoneticPr fontId="2"/>
  </si>
  <si>
    <t>PT</t>
    <phoneticPr fontId="2"/>
  </si>
  <si>
    <t>NA</t>
    <phoneticPr fontId="2"/>
  </si>
  <si>
    <t>Method Name</t>
    <phoneticPr fontId="2"/>
  </si>
  <si>
    <t>Caller function / Event</t>
    <phoneticPr fontId="2"/>
  </si>
  <si>
    <t>①</t>
    <phoneticPr fontId="2"/>
  </si>
  <si>
    <t>②</t>
    <phoneticPr fontId="2"/>
  </si>
  <si>
    <t>Verification of path flow during program execution</t>
    <phoneticPr fontId="2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</si>
  <si>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2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</si>
  <si>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2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</si>
  <si>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2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</si>
  <si>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2"/>
  </si>
  <si>
    <t>Bug Count</t>
    <phoneticPr fontId="2"/>
  </si>
  <si>
    <t>Test Cases</t>
    <phoneticPr fontId="2"/>
  </si>
  <si>
    <t>Done</t>
    <phoneticPr fontId="2"/>
  </si>
  <si>
    <t>Total Test</t>
    <phoneticPr fontId="2"/>
  </si>
  <si>
    <t>Not Done</t>
    <phoneticPr fontId="2"/>
  </si>
  <si>
    <t>Total Bugs</t>
    <phoneticPr fontId="2"/>
  </si>
  <si>
    <t>Condition Type</t>
    <phoneticPr fontId="2"/>
  </si>
  <si>
    <t>Tested By</t>
    <phoneticPr fontId="2"/>
  </si>
  <si>
    <t>Test Date</t>
    <phoneticPr fontId="2"/>
  </si>
  <si>
    <t>Test Result</t>
    <phoneticPr fontId="2"/>
  </si>
  <si>
    <t>Bug ID</t>
    <phoneticPr fontId="2"/>
  </si>
  <si>
    <t xml:space="preserve"> </t>
    <phoneticPr fontId="2"/>
  </si>
  <si>
    <t>Check Conditions / Verification Content</t>
    <phoneticPr fontId="2"/>
  </si>
  <si>
    <t xml:space="preserve">Test Case Number </t>
    <phoneticPr fontId="2"/>
  </si>
  <si>
    <t>Input 
Conditions</t>
    <phoneticPr fontId="2"/>
  </si>
  <si>
    <t>Check Items</t>
    <phoneticPr fontId="2"/>
  </si>
  <si>
    <t>Test Status</t>
    <phoneticPr fontId="2"/>
  </si>
  <si>
    <t>Bug Details</t>
    <phoneticPr fontId="2"/>
  </si>
  <si>
    <t>Click "Add New PCL" button, 
to add new PCL sheet</t>
    <phoneticPr fontId="2"/>
  </si>
  <si>
    <t>=GetBugSheetName()</t>
  </si>
  <si>
    <t>Page_Load</t>
  </si>
  <si>
    <t>DOTNS</t>
    <phoneticPr fontId="2"/>
  </si>
  <si>
    <t>DOTNS</t>
    <phoneticPr fontId="2"/>
  </si>
  <si>
    <t>Visible</t>
    <phoneticPr fontId="2"/>
  </si>
  <si>
    <t>True</t>
    <phoneticPr fontId="2"/>
  </si>
  <si>
    <t>Salary</t>
  </si>
  <si>
    <t>Exception</t>
  </si>
  <si>
    <t>Page_Load</t>
    <phoneticPr fontId="2"/>
  </si>
  <si>
    <t>N</t>
    <phoneticPr fontId="2"/>
  </si>
  <si>
    <t>A</t>
  </si>
  <si>
    <t>Pranit</t>
  </si>
  <si>
    <t>Pranit</t>
    <phoneticPr fontId="2"/>
  </si>
  <si>
    <t>OK</t>
  </si>
  <si>
    <t>OK</t>
    <phoneticPr fontId="2"/>
  </si>
  <si>
    <t>Pranit Chimurkar</t>
    <phoneticPr fontId="2"/>
  </si>
  <si>
    <t>[DOTNS : Repeater and DaraList]</t>
    <phoneticPr fontId="7" type="noConversion"/>
  </si>
  <si>
    <t>○</t>
  </si>
  <si>
    <t>DropDownList</t>
  </si>
  <si>
    <t>Label</t>
  </si>
  <si>
    <t>Operation Button</t>
  </si>
  <si>
    <t>Display Records</t>
  </si>
  <si>
    <t>Heading</t>
    <phoneticPr fontId="2"/>
  </si>
  <si>
    <t>OK</t>
    <phoneticPr fontId="2"/>
  </si>
  <si>
    <t>O</t>
  </si>
  <si>
    <t>O</t>
    <phoneticPr fontId="2"/>
  </si>
  <si>
    <t>Verification of path flow during program execution</t>
    <phoneticPr fontId="2"/>
  </si>
  <si>
    <t>Repeater and DataList</t>
    <phoneticPr fontId="2"/>
  </si>
  <si>
    <t>Please Select</t>
    <phoneticPr fontId="2"/>
  </si>
  <si>
    <t>Please select the value in DropDownList</t>
    <phoneticPr fontId="2"/>
  </si>
  <si>
    <t>Sort By</t>
    <phoneticPr fontId="2"/>
  </si>
  <si>
    <t>FirstName</t>
    <phoneticPr fontId="2"/>
  </si>
  <si>
    <t>LastName</t>
    <phoneticPr fontId="2"/>
  </si>
  <si>
    <t>BirthDate</t>
    <phoneticPr fontId="2"/>
  </si>
  <si>
    <t>Display_Records_Button</t>
    <phoneticPr fontId="2"/>
  </si>
  <si>
    <t>Display_Records_Button</t>
    <phoneticPr fontId="2"/>
  </si>
  <si>
    <t>DOTNS</t>
    <phoneticPr fontId="2"/>
  </si>
  <si>
    <t>Repeater and DataList</t>
    <phoneticPr fontId="2"/>
  </si>
  <si>
    <t>Repeater and DataList</t>
    <phoneticPr fontId="2"/>
  </si>
  <si>
    <t>2</t>
    <phoneticPr fontId="2"/>
  </si>
  <si>
    <t>Repeater</t>
  </si>
  <si>
    <t>Items</t>
  </si>
  <si>
    <t>Employee.Salary</t>
  </si>
  <si>
    <t>DataList</t>
  </si>
  <si>
    <t>Visible</t>
  </si>
  <si>
    <t>True</t>
  </si>
  <si>
    <t>Redirect to Error.aspx</t>
  </si>
  <si>
    <t>FirstName</t>
    <phoneticPr fontId="2"/>
  </si>
  <si>
    <t>Data Sorted By FirstName in Ascending order</t>
    <phoneticPr fontId="2"/>
  </si>
  <si>
    <t>Employee.FirstName</t>
    <phoneticPr fontId="2"/>
  </si>
  <si>
    <t>Employee.LastName</t>
    <phoneticPr fontId="2"/>
  </si>
  <si>
    <t>Employee.BirthDate</t>
    <phoneticPr fontId="2"/>
  </si>
  <si>
    <t>Employee.Salary</t>
    <phoneticPr fontId="2"/>
  </si>
  <si>
    <t>Exception Message Displayed</t>
    <phoneticPr fontId="2"/>
  </si>
  <si>
    <t>O</t>
    <phoneticPr fontId="2"/>
  </si>
  <si>
    <t>N</t>
  </si>
  <si>
    <t>Pranit</t>
    <phoneticPr fontId="2"/>
  </si>
  <si>
    <t>Exercise_7.Default.aspx</t>
    <phoneticPr fontId="2"/>
  </si>
  <si>
    <t>Repeater and DataList</t>
    <phoneticPr fontId="2"/>
  </si>
  <si>
    <t>1_Click</t>
    <phoneticPr fontId="2"/>
  </si>
  <si>
    <t>1_Click</t>
    <phoneticPr fontId="2"/>
  </si>
  <si>
    <t>3</t>
    <phoneticPr fontId="2"/>
  </si>
  <si>
    <t>Repeater and DaraList</t>
    <phoneticPr fontId="2"/>
  </si>
  <si>
    <t>Repeater and DaraList</t>
    <phoneticPr fontId="2"/>
  </si>
  <si>
    <t>2_Click</t>
    <phoneticPr fontId="2"/>
  </si>
  <si>
    <t>2_Click</t>
    <phoneticPr fontId="2"/>
  </si>
  <si>
    <t>4</t>
    <phoneticPr fontId="2"/>
  </si>
  <si>
    <t>Display First Page</t>
  </si>
  <si>
    <t>Button_1_Click</t>
    <phoneticPr fontId="2"/>
  </si>
  <si>
    <t>btnPrev_Click</t>
  </si>
  <si>
    <t>Display Previous Page</t>
    <phoneticPr fontId="2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</si>
</sst>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5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6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</cellStyleXfs>
  <cellXfs count="228">
    <xf numFmtId="0" fontId="0" fillId="0" borderId="0" xfId="0"/>
    <xf numFmtId="49" fontId="9" fillId="0" borderId="0" xfId="5" applyNumberFormat="1" applyFont="1" applyFill="1">
      <alignment vertical="center"/>
    </xf>
    <xf numFmtId="0" fontId="10" fillId="0" borderId="0" xfId="1" applyFont="1" applyAlignment="1">
      <alignment vertical="center"/>
    </xf>
    <xf numFmtId="0" fontId="10" fillId="0" borderId="0" xfId="1" applyFont="1" applyAlignment="1">
      <alignment horizontal="center" vertical="center" wrapText="1"/>
    </xf>
    <xf numFmtId="0" fontId="10" fillId="0" borderId="0" xfId="1" applyFont="1" applyAlignment="1">
      <alignment horizontal="center" vertical="center"/>
    </xf>
    <xf numFmtId="176" fontId="12" fillId="0" borderId="1" xfId="1" applyNumberFormat="1" applyFont="1" applyFill="1" applyBorder="1" applyAlignment="1">
      <alignment horizontal="center" vertical="center"/>
    </xf>
    <xf numFmtId="176" fontId="12" fillId="0" borderId="1" xfId="1" applyNumberFormat="1" applyFont="1" applyFill="1" applyBorder="1" applyAlignment="1">
      <alignment horizontal="left" vertical="center"/>
    </xf>
    <xf numFmtId="176" fontId="12" fillId="0" borderId="2" xfId="1" applyNumberFormat="1" applyFont="1" applyFill="1" applyBorder="1" applyAlignment="1">
      <alignment horizontal="center" vertical="center"/>
    </xf>
    <xf numFmtId="0" fontId="12" fillId="0" borderId="0" xfId="1" applyFont="1" applyFill="1" applyBorder="1" applyAlignment="1">
      <alignment horizontal="center" vertical="center"/>
    </xf>
    <xf numFmtId="49" fontId="9" fillId="0" borderId="0" xfId="5" applyNumberFormat="1" applyFont="1" applyFill="1" applyBorder="1">
      <alignment vertical="center"/>
    </xf>
    <xf numFmtId="49" fontId="9" fillId="0" borderId="3" xfId="5" applyNumberFormat="1" applyFont="1" applyFill="1" applyBorder="1" applyAlignment="1"/>
    <xf numFmtId="176" fontId="9" fillId="0" borderId="4" xfId="5" applyNumberFormat="1" applyFont="1" applyFill="1" applyBorder="1" applyAlignment="1">
      <alignment horizontal="center" vertical="center"/>
    </xf>
    <xf numFmtId="176" fontId="9" fillId="0" borderId="5" xfId="5" applyNumberFormat="1" applyFont="1" applyFill="1" applyBorder="1" applyAlignment="1">
      <alignment horizontal="center" vertical="center"/>
    </xf>
    <xf numFmtId="176" fontId="9" fillId="0" borderId="6" xfId="5" applyNumberFormat="1" applyFont="1" applyFill="1" applyBorder="1" applyAlignment="1">
      <alignment horizontal="center" vertical="center"/>
    </xf>
    <xf numFmtId="49" fontId="9" fillId="0" borderId="7" xfId="0" applyNumberFormat="1" applyFont="1" applyFill="1" applyBorder="1" applyAlignment="1">
      <alignment horizontal="center" vertical="top" wrapText="1"/>
    </xf>
    <xf numFmtId="49" fontId="9" fillId="0" borderId="8" xfId="0" applyNumberFormat="1" applyFont="1" applyFill="1" applyBorder="1" applyAlignment="1">
      <alignment horizontal="center" vertical="top" wrapText="1"/>
    </xf>
    <xf numFmtId="49" fontId="9" fillId="0" borderId="9" xfId="0" applyNumberFormat="1" applyFont="1" applyFill="1" applyBorder="1" applyAlignment="1">
      <alignment horizontal="center" vertical="top" wrapText="1"/>
    </xf>
    <xf numFmtId="49" fontId="9" fillId="0" borderId="0" xfId="5" applyNumberFormat="1" applyFont="1" applyFill="1" applyAlignment="1">
      <alignment vertical="center" wrapText="1"/>
    </xf>
    <xf numFmtId="49" fontId="9" fillId="0" borderId="10" xfId="0" applyNumberFormat="1" applyFont="1" applyFill="1" applyBorder="1" applyAlignment="1">
      <alignment horizontal="center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12" xfId="0" applyNumberFormat="1" applyFont="1" applyFill="1" applyBorder="1" applyAlignment="1">
      <alignment horizontal="center" vertical="top" wrapText="1"/>
    </xf>
    <xf numFmtId="49" fontId="9" fillId="0" borderId="0" xfId="0" applyNumberFormat="1" applyFont="1" applyFill="1" applyBorder="1" applyAlignment="1">
      <alignment horizontal="left" vertical="top" wrapText="1"/>
    </xf>
    <xf numFmtId="49" fontId="9" fillId="0" borderId="10" xfId="0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center" wrapText="1"/>
    </xf>
    <xf numFmtId="49" fontId="9" fillId="0" borderId="12" xfId="0" applyNumberFormat="1" applyFont="1" applyFill="1" applyBorder="1" applyAlignment="1">
      <alignment horizontal="center" vertical="center" wrapText="1"/>
    </xf>
    <xf numFmtId="49" fontId="9" fillId="0" borderId="7" xfId="0" applyNumberFormat="1" applyFont="1" applyFill="1" applyBorder="1" applyAlignment="1">
      <alignment horizontal="center" vertical="center" wrapText="1"/>
    </xf>
    <xf numFmtId="49" fontId="9" fillId="0" borderId="8" xfId="0" applyNumberFormat="1" applyFont="1" applyFill="1" applyBorder="1" applyAlignment="1">
      <alignment horizontal="center" vertical="center" wrapText="1"/>
    </xf>
    <xf numFmtId="49" fontId="9" fillId="0" borderId="9" xfId="0" applyNumberFormat="1" applyFont="1" applyFill="1" applyBorder="1" applyAlignment="1">
      <alignment horizontal="center" vertical="center" wrapText="1"/>
    </xf>
    <xf numFmtId="49" fontId="9" fillId="0" borderId="13" xfId="0" applyNumberFormat="1" applyFont="1" applyFill="1" applyBorder="1" applyAlignment="1">
      <alignment horizontal="left" vertical="top" wrapText="1"/>
    </xf>
    <xf numFmtId="49" fontId="9" fillId="0" borderId="14" xfId="0" applyNumberFormat="1" applyFont="1" applyFill="1" applyBorder="1" applyAlignment="1">
      <alignment horizontal="center" vertical="center" wrapText="1"/>
    </xf>
    <xf numFmtId="49" fontId="9" fillId="0" borderId="15" xfId="0" applyNumberFormat="1" applyFont="1" applyFill="1" applyBorder="1" applyAlignment="1">
      <alignment horizontal="center" vertical="center" wrapText="1"/>
    </xf>
    <xf numFmtId="49" fontId="9" fillId="0" borderId="16" xfId="0" applyNumberFormat="1" applyFont="1" applyFill="1" applyBorder="1" applyAlignment="1">
      <alignment horizontal="center" vertical="center" wrapText="1"/>
    </xf>
    <xf numFmtId="49" fontId="9" fillId="0" borderId="17" xfId="0" applyNumberFormat="1" applyFont="1" applyFill="1" applyBorder="1" applyAlignment="1">
      <alignment horizontal="center" vertical="center" wrapText="1"/>
    </xf>
    <xf numFmtId="49" fontId="9" fillId="0" borderId="18" xfId="0" applyNumberFormat="1" applyFont="1" applyFill="1" applyBorder="1" applyAlignment="1">
      <alignment horizontal="center" vertical="center" wrapText="1"/>
    </xf>
    <xf numFmtId="49" fontId="9" fillId="0" borderId="19" xfId="0" applyNumberFormat="1" applyFont="1" applyFill="1" applyBorder="1" applyAlignment="1">
      <alignment horizontal="center" vertical="center" wrapText="1"/>
    </xf>
    <xf numFmtId="49" fontId="9" fillId="0" borderId="20" xfId="5" applyNumberFormat="1" applyFont="1" applyFill="1" applyBorder="1" applyAlignment="1">
      <alignment horizontal="center" vertical="center" wrapText="1"/>
    </xf>
    <xf numFmtId="49" fontId="9" fillId="0" borderId="7" xfId="5" applyNumberFormat="1" applyFont="1" applyFill="1" applyBorder="1" applyAlignment="1">
      <alignment horizontal="center" vertical="center" wrapText="1"/>
    </xf>
    <xf numFmtId="49" fontId="9" fillId="0" borderId="8" xfId="5" applyNumberFormat="1" applyFont="1" applyFill="1" applyBorder="1" applyAlignment="1">
      <alignment horizontal="center" vertical="center" wrapText="1"/>
    </xf>
    <xf numFmtId="49" fontId="9" fillId="0" borderId="9" xfId="5" applyNumberFormat="1" applyFont="1" applyFill="1" applyBorder="1" applyAlignment="1">
      <alignment horizontal="center" vertical="center" wrapText="1"/>
    </xf>
    <xf numFmtId="49" fontId="9" fillId="0" borderId="21" xfId="5" applyNumberFormat="1" applyFont="1" applyFill="1" applyBorder="1" applyAlignment="1">
      <alignment horizontal="center" vertical="center" wrapText="1"/>
    </xf>
    <xf numFmtId="49" fontId="9" fillId="0" borderId="10" xfId="5" applyNumberFormat="1" applyFont="1" applyFill="1" applyBorder="1" applyAlignment="1">
      <alignment horizontal="center" vertical="center" wrapText="1"/>
    </xf>
    <xf numFmtId="49" fontId="9" fillId="0" borderId="11" xfId="5" applyNumberFormat="1" applyFont="1" applyFill="1" applyBorder="1" applyAlignment="1">
      <alignment horizontal="center" vertical="center" wrapText="1"/>
    </xf>
    <xf numFmtId="49" fontId="9" fillId="0" borderId="12" xfId="5" applyNumberFormat="1" applyFont="1" applyFill="1" applyBorder="1" applyAlignment="1">
      <alignment horizontal="center" vertical="center" wrapText="1"/>
    </xf>
    <xf numFmtId="177" fontId="9" fillId="0" borderId="10" xfId="5" applyNumberFormat="1" applyFont="1" applyFill="1" applyBorder="1" applyAlignment="1">
      <alignment horizontal="center" vertical="center" wrapText="1"/>
    </xf>
    <xf numFmtId="177" fontId="9" fillId="0" borderId="11" xfId="5" applyNumberFormat="1" applyFont="1" applyFill="1" applyBorder="1" applyAlignment="1">
      <alignment horizontal="center" vertical="center" wrapText="1"/>
    </xf>
    <xf numFmtId="177" fontId="9" fillId="0" borderId="12" xfId="5" applyNumberFormat="1" applyFont="1" applyFill="1" applyBorder="1" applyAlignment="1">
      <alignment horizontal="center" vertical="center" wrapText="1"/>
    </xf>
    <xf numFmtId="49" fontId="9" fillId="0" borderId="22" xfId="5" applyNumberFormat="1" applyFont="1" applyFill="1" applyBorder="1" applyAlignment="1">
      <alignment horizontal="center" vertical="center" wrapText="1"/>
    </xf>
    <xf numFmtId="49" fontId="9" fillId="0" borderId="0" xfId="5" applyNumberFormat="1" applyFont="1" applyFill="1" applyAlignment="1">
      <alignment horizontal="center" vertical="center" wrapText="1"/>
    </xf>
    <xf numFmtId="49" fontId="9" fillId="0" borderId="23" xfId="5" applyNumberFormat="1" applyFont="1" applyFill="1" applyBorder="1" applyAlignment="1">
      <alignment horizontal="center" vertical="center" wrapText="1"/>
    </xf>
    <xf numFmtId="49" fontId="9" fillId="0" borderId="0" xfId="5" applyNumberFormat="1" applyFont="1" applyFill="1" applyBorder="1" applyAlignment="1">
      <alignment horizontal="center" vertical="center" wrapText="1"/>
    </xf>
    <xf numFmtId="49" fontId="9" fillId="0" borderId="0" xfId="5" applyNumberFormat="1" applyFont="1" applyFill="1" applyBorder="1" applyAlignment="1">
      <alignment vertical="center" wrapText="1"/>
    </xf>
    <xf numFmtId="49" fontId="9" fillId="0" borderId="0" xfId="5" applyNumberFormat="1" applyFont="1" applyFill="1" applyBorder="1" applyAlignment="1">
      <alignment horizontal="center" vertical="center"/>
    </xf>
    <xf numFmtId="176" fontId="12" fillId="0" borderId="2" xfId="1" applyNumberFormat="1" applyFont="1" applyFill="1" applyBorder="1" applyAlignment="1">
      <alignment horizontal="left" vertical="center"/>
    </xf>
    <xf numFmtId="49" fontId="9" fillId="0" borderId="15" xfId="5" applyNumberFormat="1" applyFont="1" applyFill="1" applyBorder="1" applyAlignment="1">
      <alignment horizontal="center" vertical="center" wrapText="1"/>
    </xf>
    <xf numFmtId="49" fontId="9" fillId="0" borderId="16" xfId="5" applyNumberFormat="1" applyFont="1" applyFill="1" applyBorder="1" applyAlignment="1">
      <alignment horizontal="center" vertical="center" wrapText="1"/>
    </xf>
    <xf numFmtId="0" fontId="9" fillId="0" borderId="18" xfId="5" applyNumberFormat="1" applyFont="1" applyFill="1" applyBorder="1" applyAlignment="1">
      <alignment horizontal="center" vertical="center" wrapText="1"/>
    </xf>
    <xf numFmtId="0" fontId="9" fillId="0" borderId="19" xfId="5" applyNumberFormat="1" applyFont="1" applyFill="1" applyBorder="1" applyAlignment="1">
      <alignment horizontal="center" vertical="center" wrapText="1"/>
    </xf>
    <xf numFmtId="176" fontId="10" fillId="0" borderId="0" xfId="1" applyNumberFormat="1" applyFont="1" applyFill="1" applyBorder="1" applyAlignment="1">
      <alignment horizontal="center" vertical="center"/>
    </xf>
    <xf numFmtId="176" fontId="10" fillId="0" borderId="0" xfId="1" applyNumberFormat="1" applyFont="1" applyFill="1" applyBorder="1" applyAlignment="1">
      <alignment horizontal="left" vertical="center"/>
    </xf>
    <xf numFmtId="0" fontId="10" fillId="0" borderId="0" xfId="1" applyFont="1" applyFill="1" applyAlignment="1">
      <alignment horizontal="center" vertical="center"/>
    </xf>
    <xf numFmtId="49" fontId="9" fillId="0" borderId="14" xfId="5" applyNumberFormat="1" applyFont="1" applyFill="1" applyBorder="1" applyAlignment="1">
      <alignment horizontal="center" vertical="center" wrapText="1"/>
    </xf>
    <xf numFmtId="0" fontId="9" fillId="0" borderId="17" xfId="5" applyNumberFormat="1" applyFont="1" applyFill="1" applyBorder="1" applyAlignment="1">
      <alignment horizontal="center" vertical="center" wrapText="1"/>
    </xf>
    <xf numFmtId="49" fontId="13" fillId="0" borderId="11" xfId="0" applyNumberFormat="1" applyFont="1" applyFill="1" applyBorder="1" applyAlignment="1">
      <alignment horizontal="center" vertical="center" wrapText="1"/>
    </xf>
    <xf numFmtId="49" fontId="9" fillId="2" borderId="7" xfId="5" applyNumberFormat="1" applyFont="1" applyFill="1" applyBorder="1" applyAlignment="1">
      <alignment vertical="center"/>
    </xf>
    <xf numFmtId="49" fontId="9" fillId="2" borderId="17" xfId="5" applyNumberFormat="1" applyFont="1" applyFill="1" applyBorder="1" applyAlignment="1">
      <alignment vertical="center"/>
    </xf>
    <xf numFmtId="49" fontId="14" fillId="0" borderId="24" xfId="5" applyNumberFormat="1" applyFont="1" applyFill="1" applyBorder="1" applyAlignment="1">
      <alignment horizontal="right" vertical="top" wrapText="1"/>
    </xf>
    <xf numFmtId="49" fontId="19" fillId="0" borderId="4" xfId="5" applyNumberFormat="1" applyFont="1" applyFill="1" applyBorder="1" applyAlignment="1"/>
    <xf numFmtId="49" fontId="13" fillId="0" borderId="8" xfId="0" applyNumberFormat="1" applyFont="1" applyFill="1" applyBorder="1" applyAlignment="1">
      <alignment horizontal="center" vertical="center" wrapText="1"/>
    </xf>
    <xf numFmtId="49" fontId="13" fillId="0" borderId="15" xfId="0" applyNumberFormat="1" applyFont="1" applyFill="1" applyBorder="1" applyAlignment="1">
      <alignment horizontal="center" vertical="center" wrapText="1"/>
    </xf>
    <xf numFmtId="49" fontId="13" fillId="0" borderId="11" xfId="5" applyNumberFormat="1" applyFont="1" applyFill="1" applyBorder="1" applyAlignment="1">
      <alignment horizontal="center" vertical="center" wrapText="1"/>
    </xf>
    <xf numFmtId="49" fontId="13" fillId="0" borderId="18" xfId="0" applyNumberFormat="1" applyFont="1" applyFill="1" applyBorder="1" applyAlignment="1">
      <alignment horizontal="center" vertical="center" wrapText="1"/>
    </xf>
    <xf numFmtId="49" fontId="9" fillId="0" borderId="22" xfId="4" applyNumberFormat="1" applyFont="1" applyFill="1" applyBorder="1" applyAlignment="1">
      <alignment horizontal="left" wrapText="1"/>
    </xf>
    <xf numFmtId="49" fontId="9" fillId="0" borderId="11" xfId="5" applyNumberFormat="1" applyFont="1" applyFill="1" applyBorder="1" applyAlignment="1">
      <alignment horizontal="center" vertical="center" wrapText="1"/>
    </xf>
    <xf numFmtId="49" fontId="17" fillId="0" borderId="25" xfId="5" applyNumberFormat="1" applyFont="1" applyFill="1" applyBorder="1" applyAlignment="1">
      <alignment horizontal="center" vertical="center" wrapText="1"/>
    </xf>
    <xf numFmtId="49" fontId="16" fillId="0" borderId="25" xfId="5" applyNumberFormat="1" applyFont="1" applyFill="1" applyBorder="1" applyAlignment="1">
      <alignment horizontal="center" vertical="center" wrapText="1"/>
    </xf>
    <xf numFmtId="49" fontId="9" fillId="0" borderId="11" xfId="5" applyNumberFormat="1" applyFont="1" applyFill="1" applyBorder="1" applyAlignment="1">
      <alignment horizontal="center" vertical="center" wrapText="1"/>
    </xf>
    <xf numFmtId="49" fontId="13" fillId="0" borderId="10" xfId="0" applyNumberFormat="1" applyFont="1" applyFill="1" applyBorder="1" applyAlignment="1">
      <alignment horizontal="center" vertical="center" wrapText="1"/>
    </xf>
    <xf numFmtId="49" fontId="3" fillId="0" borderId="26" xfId="6" applyNumberFormat="1" applyFont="1" applyFill="1" applyBorder="1" applyAlignment="1">
      <alignment horizontal="center" vertical="center" wrapText="1"/>
    </xf>
    <xf numFmtId="49" fontId="9" fillId="0" borderId="11" xfId="4" applyNumberFormat="1" applyFont="1" applyFill="1" applyBorder="1" applyAlignment="1">
      <alignment wrapText="1"/>
    </xf>
    <xf numFmtId="176" fontId="10" fillId="0" borderId="22" xfId="1" applyNumberFormat="1" applyFont="1" applyBorder="1" applyAlignment="1">
      <alignment horizontal="center" vertical="center"/>
    </xf>
    <xf numFmtId="176" fontId="10" fillId="0" borderId="1" xfId="1" applyNumberFormat="1" applyFont="1" applyBorder="1" applyAlignment="1">
      <alignment horizontal="center" vertical="center"/>
    </xf>
    <xf numFmtId="176" fontId="10" fillId="0" borderId="26" xfId="1" applyNumberFormat="1" applyFont="1" applyBorder="1" applyAlignment="1">
      <alignment horizontal="center" vertical="center"/>
    </xf>
    <xf numFmtId="176" fontId="10" fillId="4" borderId="22" xfId="1" applyNumberFormat="1" applyFont="1" applyFill="1" applyBorder="1" applyAlignment="1">
      <alignment horizontal="center" vertical="center"/>
    </xf>
    <xf numFmtId="176" fontId="10" fillId="4" borderId="1" xfId="1" applyNumberFormat="1" applyFont="1" applyFill="1" applyBorder="1" applyAlignment="1">
      <alignment horizontal="center" vertical="center"/>
    </xf>
    <xf numFmtId="176" fontId="10" fillId="4" borderId="26" xfId="1" applyNumberFormat="1" applyFont="1" applyFill="1" applyBorder="1" applyAlignment="1">
      <alignment horizontal="center" vertical="center"/>
    </xf>
    <xf numFmtId="176" fontId="10" fillId="2" borderId="22" xfId="1" applyNumberFormat="1" applyFont="1" applyFill="1" applyBorder="1" applyAlignment="1">
      <alignment horizontal="center" vertical="center"/>
    </xf>
    <xf numFmtId="176" fontId="10" fillId="2" borderId="1" xfId="1" applyNumberFormat="1" applyFont="1" applyFill="1" applyBorder="1" applyAlignment="1">
      <alignment horizontal="center" vertical="center"/>
    </xf>
    <xf numFmtId="176" fontId="10" fillId="2" borderId="26" xfId="1" applyNumberFormat="1" applyFont="1" applyFill="1" applyBorder="1" applyAlignment="1">
      <alignment horizontal="center" vertical="center"/>
    </xf>
    <xf numFmtId="176" fontId="10" fillId="0" borderId="22" xfId="1" applyNumberFormat="1" applyFont="1" applyBorder="1" applyAlignment="1" applyProtection="1">
      <alignment vertical="center" wrapText="1"/>
      <protection locked="0"/>
    </xf>
    <xf numFmtId="176" fontId="10" fillId="0" borderId="1" xfId="1" applyNumberFormat="1" applyFont="1" applyBorder="1" applyAlignment="1" applyProtection="1">
      <alignment vertical="center" wrapText="1"/>
      <protection locked="0"/>
    </xf>
    <xf numFmtId="176" fontId="10" fillId="0" borderId="26" xfId="1" applyNumberFormat="1" applyFont="1" applyBorder="1" applyAlignment="1" applyProtection="1">
      <alignment vertical="center" wrapText="1"/>
      <protection locked="0"/>
    </xf>
    <xf numFmtId="0" fontId="11" fillId="6" borderId="4" xfId="0" applyFont="1" applyFill="1" applyBorder="1" applyAlignment="1" applyProtection="1">
      <alignment horizontal="center" vertical="center" wrapText="1"/>
      <protection locked="0"/>
    </xf>
    <xf numFmtId="0" fontId="11" fillId="6" borderId="3" xfId="0" applyFont="1" applyFill="1" applyBorder="1" applyAlignment="1" applyProtection="1">
      <alignment horizontal="center" vertical="center" wrapText="1"/>
      <protection locked="0"/>
    </xf>
    <xf numFmtId="0" fontId="11" fillId="6" borderId="31" xfId="0" applyFont="1" applyFill="1" applyBorder="1" applyAlignment="1" applyProtection="1">
      <alignment horizontal="center" vertical="center" wrapText="1"/>
      <protection locked="0"/>
    </xf>
    <xf numFmtId="0" fontId="10" fillId="5" borderId="22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0" fillId="5" borderId="26" xfId="0" applyFont="1" applyFill="1" applyBorder="1" applyAlignment="1">
      <alignment horizontal="center" vertical="center"/>
    </xf>
    <xf numFmtId="0" fontId="10" fillId="4" borderId="21" xfId="0" applyFont="1" applyFill="1" applyBorder="1" applyAlignment="1">
      <alignment horizontal="center" vertical="center" wrapText="1"/>
    </xf>
    <xf numFmtId="0" fontId="10" fillId="4" borderId="29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 wrapText="1"/>
    </xf>
    <xf numFmtId="0" fontId="10" fillId="5" borderId="27" xfId="0" applyFont="1" applyFill="1" applyBorder="1" applyAlignment="1">
      <alignment horizontal="center" vertical="center"/>
    </xf>
    <xf numFmtId="0" fontId="10" fillId="5" borderId="28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20" fillId="7" borderId="0" xfId="1" applyFont="1" applyFill="1" applyAlignment="1">
      <alignment horizontal="center" vertical="center" wrapText="1"/>
    </xf>
    <xf numFmtId="9" fontId="10" fillId="3" borderId="22" xfId="2" applyNumberFormat="1" applyFont="1" applyFill="1" applyBorder="1" applyAlignment="1">
      <alignment horizontal="center" vertical="center"/>
    </xf>
    <xf numFmtId="9" fontId="10" fillId="3" borderId="1" xfId="2" applyNumberFormat="1" applyFont="1" applyFill="1" applyBorder="1" applyAlignment="1">
      <alignment horizontal="center" vertical="center"/>
    </xf>
    <xf numFmtId="9" fontId="10" fillId="3" borderId="26" xfId="2" applyNumberFormat="1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10" fillId="2" borderId="28" xfId="0" applyFont="1" applyFill="1" applyBorder="1" applyAlignment="1">
      <alignment horizontal="center" vertical="center" wrapText="1"/>
    </xf>
    <xf numFmtId="0" fontId="10" fillId="4" borderId="27" xfId="0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 wrapText="1"/>
    </xf>
    <xf numFmtId="0" fontId="10" fillId="4" borderId="28" xfId="0" applyFont="1" applyFill="1" applyBorder="1" applyAlignment="1">
      <alignment horizontal="center" vertical="center" wrapText="1"/>
    </xf>
    <xf numFmtId="176" fontId="10" fillId="3" borderId="22" xfId="1" applyNumberFormat="1" applyFont="1" applyFill="1" applyBorder="1" applyAlignment="1">
      <alignment horizontal="center" vertical="center"/>
    </xf>
    <xf numFmtId="176" fontId="10" fillId="3" borderId="1" xfId="1" applyNumberFormat="1" applyFont="1" applyFill="1" applyBorder="1" applyAlignment="1">
      <alignment horizontal="center" vertical="center"/>
    </xf>
    <xf numFmtId="176" fontId="10" fillId="3" borderId="26" xfId="1" applyNumberFormat="1" applyFont="1" applyFill="1" applyBorder="1" applyAlignment="1">
      <alignment horizontal="center" vertical="center"/>
    </xf>
    <xf numFmtId="0" fontId="10" fillId="3" borderId="22" xfId="1" applyFont="1" applyFill="1" applyBorder="1" applyAlignment="1">
      <alignment horizontal="center" vertical="center"/>
    </xf>
    <xf numFmtId="0" fontId="10" fillId="3" borderId="1" xfId="1" applyFont="1" applyFill="1" applyBorder="1" applyAlignment="1">
      <alignment horizontal="center" vertical="center"/>
    </xf>
    <xf numFmtId="0" fontId="10" fillId="3" borderId="26" xfId="1" applyFont="1" applyFill="1" applyBorder="1" applyAlignment="1">
      <alignment horizontal="center" vertical="center"/>
    </xf>
    <xf numFmtId="0" fontId="10" fillId="5" borderId="22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0" fillId="5" borderId="26" xfId="0" applyFont="1" applyFill="1" applyBorder="1" applyAlignment="1">
      <alignment horizontal="center"/>
    </xf>
    <xf numFmtId="176" fontId="10" fillId="3" borderId="27" xfId="1" applyNumberFormat="1" applyFont="1" applyFill="1" applyBorder="1" applyAlignment="1">
      <alignment horizontal="center" vertical="center"/>
    </xf>
    <xf numFmtId="176" fontId="10" fillId="3" borderId="2" xfId="1" applyNumberFormat="1" applyFont="1" applyFill="1" applyBorder="1" applyAlignment="1">
      <alignment horizontal="center" vertical="center"/>
    </xf>
    <xf numFmtId="176" fontId="10" fillId="3" borderId="28" xfId="1" applyNumberFormat="1" applyFont="1" applyFill="1" applyBorder="1" applyAlignment="1">
      <alignment horizontal="center" vertical="center"/>
    </xf>
    <xf numFmtId="176" fontId="10" fillId="3" borderId="21" xfId="1" applyNumberFormat="1" applyFont="1" applyFill="1" applyBorder="1" applyAlignment="1">
      <alignment horizontal="center" vertical="center"/>
    </xf>
    <xf numFmtId="176" fontId="10" fillId="3" borderId="29" xfId="1" applyNumberFormat="1" applyFont="1" applyFill="1" applyBorder="1" applyAlignment="1">
      <alignment horizontal="center" vertical="center"/>
    </xf>
    <xf numFmtId="176" fontId="10" fillId="3" borderId="30" xfId="1" applyNumberFormat="1" applyFont="1" applyFill="1" applyBorder="1" applyAlignment="1">
      <alignment horizontal="center" vertical="center"/>
    </xf>
    <xf numFmtId="0" fontId="10" fillId="5" borderId="2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29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 wrapText="1"/>
    </xf>
    <xf numFmtId="0" fontId="10" fillId="2" borderId="29" xfId="0" applyFont="1" applyFill="1" applyBorder="1" applyAlignment="1">
      <alignment horizontal="center" vertical="center" wrapText="1"/>
    </xf>
    <xf numFmtId="0" fontId="10" fillId="2" borderId="30" xfId="0" applyFont="1" applyFill="1" applyBorder="1" applyAlignment="1">
      <alignment horizontal="center" vertical="center" wrapText="1"/>
    </xf>
    <xf numFmtId="49" fontId="9" fillId="0" borderId="22" xfId="4" applyNumberFormat="1" applyFont="1" applyFill="1" applyBorder="1" applyAlignment="1">
      <alignment horizontal="left" wrapText="1"/>
    </xf>
    <xf numFmtId="49" fontId="9" fillId="0" borderId="1" xfId="4" applyNumberFormat="1" applyFont="1" applyFill="1" applyBorder="1" applyAlignment="1">
      <alignment horizontal="left" wrapText="1"/>
    </xf>
    <xf numFmtId="49" fontId="9" fillId="0" borderId="41" xfId="4" applyNumberFormat="1" applyFont="1" applyFill="1" applyBorder="1" applyAlignment="1">
      <alignment horizontal="left" wrapText="1"/>
    </xf>
    <xf numFmtId="49" fontId="9" fillId="0" borderId="15" xfId="4" applyNumberFormat="1" applyFont="1" applyFill="1" applyBorder="1" applyAlignment="1">
      <alignment horizontal="center" wrapText="1"/>
    </xf>
    <xf numFmtId="49" fontId="9" fillId="0" borderId="45" xfId="4" applyNumberFormat="1" applyFont="1" applyFill="1" applyBorder="1" applyAlignment="1">
      <alignment horizontal="center" wrapText="1"/>
    </xf>
    <xf numFmtId="49" fontId="9" fillId="0" borderId="1" xfId="0" applyNumberFormat="1" applyFont="1" applyFill="1" applyBorder="1" applyAlignment="1">
      <alignment horizontal="left" vertical="top" wrapText="1"/>
    </xf>
    <xf numFmtId="49" fontId="9" fillId="0" borderId="41" xfId="0" applyNumberFormat="1" applyFont="1" applyFill="1" applyBorder="1" applyAlignment="1">
      <alignment horizontal="left" vertical="top" wrapText="1"/>
    </xf>
    <xf numFmtId="49" fontId="18" fillId="0" borderId="42" xfId="5" applyNumberFormat="1" applyFont="1" applyFill="1" applyBorder="1" applyAlignment="1">
      <alignment horizontal="center" vertical="center" wrapText="1"/>
    </xf>
    <xf numFmtId="49" fontId="18" fillId="0" borderId="43" xfId="5" applyNumberFormat="1" applyFont="1" applyFill="1" applyBorder="1" applyAlignment="1">
      <alignment horizontal="center" vertical="center" wrapText="1"/>
    </xf>
    <xf numFmtId="49" fontId="9" fillId="0" borderId="11" xfId="5" applyNumberFormat="1" applyFont="1" applyFill="1" applyBorder="1" applyAlignment="1">
      <alignment horizontal="center" vertical="center" wrapText="1"/>
    </xf>
    <xf numFmtId="0" fontId="9" fillId="0" borderId="22" xfId="5" applyNumberFormat="1" applyFont="1" applyFill="1" applyBorder="1" applyAlignment="1">
      <alignment horizontal="right" vertical="center" wrapText="1"/>
    </xf>
    <xf numFmtId="0" fontId="9" fillId="0" borderId="41" xfId="5" applyNumberFormat="1" applyFont="1" applyFill="1" applyBorder="1" applyAlignment="1">
      <alignment horizontal="right" vertical="center" wrapText="1"/>
    </xf>
    <xf numFmtId="49" fontId="9" fillId="0" borderId="32" xfId="5" applyNumberFormat="1" applyFont="1" applyFill="1" applyBorder="1" applyAlignment="1">
      <alignment horizontal="center" vertical="center" wrapText="1"/>
    </xf>
    <xf numFmtId="49" fontId="9" fillId="0" borderId="33" xfId="5" applyNumberFormat="1" applyFont="1" applyFill="1" applyBorder="1" applyAlignment="1">
      <alignment horizontal="center" vertical="center" wrapText="1"/>
    </xf>
    <xf numFmtId="49" fontId="9" fillId="0" borderId="37" xfId="5" applyNumberFormat="1" applyFont="1" applyFill="1" applyBorder="1" applyAlignment="1">
      <alignment horizontal="center" vertical="center" wrapText="1"/>
    </xf>
    <xf numFmtId="49" fontId="9" fillId="0" borderId="34" xfId="5" applyNumberFormat="1" applyFont="1" applyFill="1" applyBorder="1" applyAlignment="1">
      <alignment horizontal="center" vertical="center" wrapText="1"/>
    </xf>
    <xf numFmtId="49" fontId="15" fillId="0" borderId="39" xfId="5" applyNumberFormat="1" applyFont="1" applyFill="1" applyBorder="1" applyAlignment="1">
      <alignment horizontal="center" vertical="center" wrapText="1"/>
    </xf>
    <xf numFmtId="49" fontId="15" fillId="0" borderId="25" xfId="5" applyNumberFormat="1" applyFont="1" applyFill="1" applyBorder="1" applyAlignment="1">
      <alignment horizontal="center" vertical="center" wrapText="1"/>
    </xf>
    <xf numFmtId="49" fontId="9" fillId="0" borderId="20" xfId="5" applyNumberFormat="1" applyFont="1" applyFill="1" applyBorder="1" applyAlignment="1">
      <alignment vertical="center" wrapText="1"/>
    </xf>
    <xf numFmtId="49" fontId="9" fillId="0" borderId="35" xfId="5" applyNumberFormat="1" applyFont="1" applyFill="1" applyBorder="1" applyAlignment="1">
      <alignment vertical="center" wrapText="1"/>
    </xf>
    <xf numFmtId="49" fontId="9" fillId="0" borderId="36" xfId="5" applyNumberFormat="1" applyFont="1" applyFill="1" applyBorder="1" applyAlignment="1">
      <alignment vertical="center" wrapText="1"/>
    </xf>
    <xf numFmtId="49" fontId="9" fillId="0" borderId="22" xfId="5" applyNumberFormat="1" applyFont="1" applyFill="1" applyBorder="1" applyAlignment="1">
      <alignment vertical="center" wrapText="1"/>
    </xf>
    <xf numFmtId="49" fontId="9" fillId="0" borderId="1" xfId="5" applyNumberFormat="1" applyFont="1" applyFill="1" applyBorder="1" applyAlignment="1">
      <alignment vertical="center" wrapText="1"/>
    </xf>
    <xf numFmtId="49" fontId="9" fillId="0" borderId="26" xfId="5" applyNumberFormat="1" applyFont="1" applyFill="1" applyBorder="1" applyAlignment="1">
      <alignment vertical="center" wrapText="1"/>
    </xf>
    <xf numFmtId="49" fontId="16" fillId="0" borderId="39" xfId="5" applyNumberFormat="1" applyFont="1" applyFill="1" applyBorder="1" applyAlignment="1">
      <alignment horizontal="center" vertical="center" wrapText="1"/>
    </xf>
    <xf numFmtId="49" fontId="16" fillId="0" borderId="25" xfId="5" applyNumberFormat="1" applyFont="1" applyFill="1" applyBorder="1" applyAlignment="1">
      <alignment horizontal="center" vertical="center" wrapText="1"/>
    </xf>
    <xf numFmtId="49" fontId="9" fillId="0" borderId="20" xfId="0" applyNumberFormat="1" applyFont="1" applyFill="1" applyBorder="1" applyAlignment="1">
      <alignment horizontal="left" vertical="top" wrapText="1"/>
    </xf>
    <xf numFmtId="49" fontId="9" fillId="0" borderId="35" xfId="0" applyNumberFormat="1" applyFont="1" applyFill="1" applyBorder="1" applyAlignment="1">
      <alignment horizontal="left" vertical="top" wrapText="1"/>
    </xf>
    <xf numFmtId="49" fontId="9" fillId="0" borderId="38" xfId="0" applyNumberFormat="1" applyFont="1" applyFill="1" applyBorder="1" applyAlignment="1">
      <alignment horizontal="left" vertical="top" wrapText="1"/>
    </xf>
    <xf numFmtId="49" fontId="9" fillId="0" borderId="22" xfId="0" applyNumberFormat="1" applyFont="1" applyFill="1" applyBorder="1" applyAlignment="1">
      <alignment horizontal="left" vertical="top" wrapText="1"/>
    </xf>
    <xf numFmtId="49" fontId="9" fillId="0" borderId="20" xfId="4" applyNumberFormat="1" applyFont="1" applyFill="1" applyBorder="1" applyAlignment="1">
      <alignment horizontal="left" wrapText="1"/>
    </xf>
    <xf numFmtId="49" fontId="9" fillId="0" borderId="35" xfId="4" applyNumberFormat="1" applyFont="1" applyFill="1" applyBorder="1" applyAlignment="1">
      <alignment horizontal="left" wrapText="1"/>
    </xf>
    <xf numFmtId="49" fontId="9" fillId="0" borderId="38" xfId="4" applyNumberFormat="1" applyFont="1" applyFill="1" applyBorder="1" applyAlignment="1">
      <alignment horizontal="left" wrapText="1"/>
    </xf>
    <xf numFmtId="49" fontId="9" fillId="0" borderId="32" xfId="0" applyNumberFormat="1" applyFont="1" applyFill="1" applyBorder="1" applyAlignment="1">
      <alignment horizontal="left" vertical="top" wrapText="1"/>
    </xf>
    <xf numFmtId="49" fontId="9" fillId="0" borderId="33" xfId="0" applyNumberFormat="1" applyFont="1" applyFill="1" applyBorder="1" applyAlignment="1">
      <alignment horizontal="left" vertical="top" wrapText="1"/>
    </xf>
    <xf numFmtId="49" fontId="9" fillId="0" borderId="34" xfId="0" applyNumberFormat="1" applyFont="1" applyFill="1" applyBorder="1" applyAlignment="1">
      <alignment horizontal="left" vertical="top" wrapText="1"/>
    </xf>
    <xf numFmtId="49" fontId="17" fillId="0" borderId="39" xfId="5" applyNumberFormat="1" applyFont="1" applyFill="1" applyBorder="1" applyAlignment="1">
      <alignment horizontal="center" vertical="center" wrapText="1"/>
    </xf>
    <xf numFmtId="49" fontId="17" fillId="0" borderId="25" xfId="5" applyNumberFormat="1" applyFont="1" applyFill="1" applyBorder="1" applyAlignment="1">
      <alignment horizontal="center" vertical="center" wrapText="1"/>
    </xf>
    <xf numFmtId="177" fontId="9" fillId="0" borderId="8" xfId="5" applyNumberFormat="1" applyFont="1" applyFill="1" applyBorder="1" applyAlignment="1">
      <alignment horizontal="center" vertical="center"/>
    </xf>
    <xf numFmtId="177" fontId="9" fillId="0" borderId="9" xfId="5" applyNumberFormat="1" applyFont="1" applyFill="1" applyBorder="1" applyAlignment="1">
      <alignment horizontal="center" vertical="center"/>
    </xf>
    <xf numFmtId="49" fontId="9" fillId="0" borderId="32" xfId="5" applyNumberFormat="1" applyFont="1" applyFill="1" applyBorder="1" applyAlignment="1">
      <alignment horizontal="center" vertical="center"/>
    </xf>
    <xf numFmtId="49" fontId="9" fillId="0" borderId="33" xfId="5" applyNumberFormat="1" applyFont="1" applyFill="1" applyBorder="1" applyAlignment="1">
      <alignment horizontal="center" vertical="center"/>
    </xf>
    <xf numFmtId="49" fontId="9" fillId="0" borderId="37" xfId="5" applyNumberFormat="1" applyFont="1" applyFill="1" applyBorder="1" applyAlignment="1">
      <alignment horizontal="center" vertical="center"/>
    </xf>
    <xf numFmtId="49" fontId="9" fillId="2" borderId="32" xfId="5" applyNumberFormat="1" applyFont="1" applyFill="1" applyBorder="1" applyAlignment="1">
      <alignment horizontal="center" vertical="center"/>
    </xf>
    <xf numFmtId="49" fontId="9" fillId="2" borderId="33" xfId="5" applyNumberFormat="1" applyFont="1" applyFill="1" applyBorder="1" applyAlignment="1">
      <alignment horizontal="center" vertical="center"/>
    </xf>
    <xf numFmtId="49" fontId="9" fillId="0" borderId="34" xfId="5" applyNumberFormat="1" applyFont="1" applyFill="1" applyBorder="1" applyAlignment="1">
      <alignment horizontal="center" vertical="center"/>
    </xf>
    <xf numFmtId="49" fontId="9" fillId="0" borderId="20" xfId="5" applyNumberFormat="1" applyFont="1" applyFill="1" applyBorder="1" applyAlignment="1">
      <alignment horizontal="center" vertical="center"/>
    </xf>
    <xf numFmtId="49" fontId="9" fillId="0" borderId="35" xfId="5" applyNumberFormat="1" applyFont="1" applyFill="1" applyBorder="1" applyAlignment="1">
      <alignment horizontal="center" vertical="center"/>
    </xf>
    <xf numFmtId="49" fontId="9" fillId="0" borderId="36" xfId="5" applyNumberFormat="1" applyFont="1" applyFill="1" applyBorder="1" applyAlignment="1">
      <alignment horizontal="center" vertical="center"/>
    </xf>
    <xf numFmtId="49" fontId="9" fillId="2" borderId="20" xfId="5" applyNumberFormat="1" applyFont="1" applyFill="1" applyBorder="1" applyAlignment="1">
      <alignment horizontal="center" vertical="center"/>
    </xf>
    <xf numFmtId="49" fontId="9" fillId="2" borderId="35" xfId="5" applyNumberFormat="1" applyFont="1" applyFill="1" applyBorder="1" applyAlignment="1">
      <alignment horizontal="center" vertical="center"/>
    </xf>
    <xf numFmtId="49" fontId="9" fillId="2" borderId="36" xfId="5" applyNumberFormat="1" applyFont="1" applyFill="1" applyBorder="1" applyAlignment="1">
      <alignment horizontal="center" vertical="center"/>
    </xf>
    <xf numFmtId="49" fontId="9" fillId="2" borderId="8" xfId="5" applyNumberFormat="1" applyFont="1" applyFill="1" applyBorder="1" applyAlignment="1">
      <alignment horizontal="center" vertical="center"/>
    </xf>
    <xf numFmtId="49" fontId="9" fillId="0" borderId="45" xfId="0" applyNumberFormat="1" applyFont="1" applyFill="1" applyBorder="1" applyAlignment="1">
      <alignment horizontal="center" vertical="top" wrapText="1"/>
    </xf>
    <xf numFmtId="49" fontId="9" fillId="0" borderId="44" xfId="0" applyNumberFormat="1" applyFont="1" applyFill="1" applyBorder="1" applyAlignment="1">
      <alignment horizontal="center" vertical="top" wrapText="1"/>
    </xf>
    <xf numFmtId="49" fontId="3" fillId="0" borderId="27" xfId="0" applyNumberFormat="1" applyFont="1" applyFill="1" applyBorder="1" applyAlignment="1">
      <alignment horizontal="left" vertical="top" wrapText="1"/>
    </xf>
    <xf numFmtId="49" fontId="9" fillId="0" borderId="48" xfId="0" applyNumberFormat="1" applyFont="1" applyFill="1" applyBorder="1" applyAlignment="1">
      <alignment horizontal="left" vertical="top" wrapText="1"/>
    </xf>
    <xf numFmtId="49" fontId="9" fillId="0" borderId="24" xfId="0" applyNumberFormat="1" applyFont="1" applyFill="1" applyBorder="1" applyAlignment="1">
      <alignment horizontal="left" vertical="top" wrapText="1"/>
    </xf>
    <xf numFmtId="49" fontId="9" fillId="0" borderId="49" xfId="0" applyNumberFormat="1" applyFont="1" applyFill="1" applyBorder="1" applyAlignment="1">
      <alignment horizontal="left" vertical="top" wrapText="1"/>
    </xf>
    <xf numFmtId="49" fontId="9" fillId="0" borderId="40" xfId="0" applyNumberFormat="1" applyFont="1" applyFill="1" applyBorder="1" applyAlignment="1">
      <alignment horizontal="left" vertical="top" wrapText="1"/>
    </xf>
    <xf numFmtId="49" fontId="9" fillId="0" borderId="23" xfId="0" applyNumberFormat="1" applyFont="1" applyFill="1" applyBorder="1" applyAlignment="1">
      <alignment horizontal="left" vertical="top" wrapText="1"/>
    </xf>
    <xf numFmtId="0" fontId="10" fillId="0" borderId="1" xfId="0" applyFont="1" applyBorder="1" applyAlignment="1">
      <alignment horizontal="left" vertical="top" wrapText="1"/>
    </xf>
    <xf numFmtId="49" fontId="9" fillId="0" borderId="13" xfId="0" applyNumberFormat="1" applyFont="1" applyFill="1" applyBorder="1" applyAlignment="1">
      <alignment horizontal="center" vertical="top" wrapText="1"/>
    </xf>
    <xf numFmtId="49" fontId="9" fillId="0" borderId="48" xfId="0" applyNumberFormat="1" applyFont="1" applyFill="1" applyBorder="1" applyAlignment="1">
      <alignment horizontal="center" vertical="top" wrapText="1"/>
    </xf>
    <xf numFmtId="49" fontId="9" fillId="0" borderId="21" xfId="4" applyNumberFormat="1" applyFont="1" applyFill="1" applyBorder="1" applyAlignment="1">
      <alignment horizontal="left" wrapText="1"/>
    </xf>
    <xf numFmtId="49" fontId="9" fillId="0" borderId="29" xfId="4" applyNumberFormat="1" applyFont="1" applyFill="1" applyBorder="1" applyAlignment="1">
      <alignment horizontal="left" wrapText="1"/>
    </xf>
    <xf numFmtId="49" fontId="9" fillId="0" borderId="45" xfId="5" applyNumberFormat="1" applyFont="1" applyFill="1" applyBorder="1" applyAlignment="1">
      <alignment horizontal="center" vertical="center" wrapText="1"/>
    </xf>
    <xf numFmtId="49" fontId="3" fillId="0" borderId="22" xfId="0" applyNumberFormat="1" applyFont="1" applyFill="1" applyBorder="1" applyAlignment="1">
      <alignment horizontal="left" vertical="top" wrapText="1"/>
    </xf>
    <xf numFmtId="49" fontId="17" fillId="0" borderId="46" xfId="5" applyNumberFormat="1" applyFont="1" applyFill="1" applyBorder="1" applyAlignment="1">
      <alignment horizontal="center" vertical="center" wrapText="1"/>
    </xf>
    <xf numFmtId="49" fontId="9" fillId="0" borderId="27" xfId="4" applyNumberFormat="1" applyFont="1" applyFill="1" applyBorder="1" applyAlignment="1">
      <alignment horizontal="left" wrapText="1"/>
    </xf>
    <xf numFmtId="49" fontId="9" fillId="0" borderId="2" xfId="4" applyNumberFormat="1" applyFont="1" applyFill="1" applyBorder="1" applyAlignment="1">
      <alignment horizontal="left" wrapText="1"/>
    </xf>
    <xf numFmtId="49" fontId="13" fillId="0" borderId="10" xfId="0" applyNumberFormat="1" applyFont="1" applyFill="1" applyBorder="1" applyAlignment="1">
      <alignment horizontal="center" vertical="top" wrapText="1"/>
    </xf>
    <xf numFmtId="49" fontId="13" fillId="0" borderId="11" xfId="0" applyNumberFormat="1" applyFont="1" applyFill="1" applyBorder="1" applyAlignment="1">
      <alignment horizontal="center" vertical="top" wrapText="1"/>
    </xf>
    <xf numFmtId="49" fontId="9" fillId="0" borderId="15" xfId="0" applyNumberFormat="1" applyFont="1" applyFill="1" applyBorder="1" applyAlignment="1">
      <alignment horizontal="left" vertical="top" wrapText="1"/>
    </xf>
    <xf numFmtId="49" fontId="9" fillId="0" borderId="45" xfId="0" applyNumberFormat="1" applyFont="1" applyFill="1" applyBorder="1" applyAlignment="1">
      <alignment horizontal="left" vertical="top" wrapText="1"/>
    </xf>
    <xf numFmtId="49" fontId="9" fillId="0" borderId="11" xfId="0" applyNumberFormat="1" applyFont="1" applyFill="1" applyBorder="1" applyAlignment="1">
      <alignment vertical="top" wrapText="1"/>
    </xf>
    <xf numFmtId="49" fontId="9" fillId="0" borderId="44" xfId="0" applyNumberFormat="1" applyFont="1" applyFill="1" applyBorder="1" applyAlignment="1">
      <alignment horizontal="left" vertical="top" wrapText="1"/>
    </xf>
    <xf numFmtId="49" fontId="9" fillId="0" borderId="11" xfId="4" applyNumberFormat="1" applyFont="1" applyFill="1" applyBorder="1" applyAlignment="1">
      <alignment horizontal="left" wrapText="1"/>
    </xf>
    <xf numFmtId="49" fontId="9" fillId="0" borderId="11" xfId="0" applyNumberFormat="1" applyFont="1" applyFill="1" applyBorder="1" applyAlignment="1">
      <alignment horizontal="left" vertical="top" wrapText="1"/>
    </xf>
    <xf numFmtId="49" fontId="9" fillId="0" borderId="13" xfId="0" applyNumberFormat="1" applyFont="1" applyFill="1" applyBorder="1" applyAlignment="1">
      <alignment horizontal="left" vertical="top" wrapText="1"/>
    </xf>
    <xf numFmtId="49" fontId="9" fillId="0" borderId="0" xfId="0" applyNumberFormat="1" applyFont="1" applyFill="1" applyBorder="1" applyAlignment="1">
      <alignment horizontal="left" vertical="top" wrapText="1"/>
    </xf>
    <xf numFmtId="49" fontId="9" fillId="0" borderId="51" xfId="0" applyNumberFormat="1" applyFont="1" applyFill="1" applyBorder="1" applyAlignment="1">
      <alignment horizontal="left" vertical="top" wrapText="1"/>
    </xf>
    <xf numFmtId="49" fontId="9" fillId="0" borderId="47" xfId="0" applyNumberFormat="1" applyFont="1" applyFill="1" applyBorder="1" applyAlignment="1">
      <alignment horizontal="center" vertical="center" wrapText="1"/>
    </xf>
    <xf numFmtId="49" fontId="9" fillId="0" borderId="50" xfId="0" applyNumberFormat="1" applyFont="1" applyFill="1" applyBorder="1" applyAlignment="1">
      <alignment horizontal="center" vertical="center" wrapText="1"/>
    </xf>
    <xf numFmtId="49" fontId="9" fillId="0" borderId="11" xfId="4" applyNumberFormat="1" applyFont="1" applyFill="1" applyBorder="1" applyAlignment="1">
      <alignment horizontal="center" wrapText="1"/>
    </xf>
    <xf numFmtId="49" fontId="13" fillId="0" borderId="1" xfId="0" applyNumberFormat="1" applyFont="1" applyFill="1" applyBorder="1" applyAlignment="1">
      <alignment horizontal="center" vertical="center" wrapText="1"/>
    </xf>
    <xf numFmtId="49" fontId="9" fillId="0" borderId="47" xfId="4" applyNumberFormat="1" applyFont="1" applyFill="1" applyBorder="1" applyAlignment="1">
      <alignment horizontal="center" wrapText="1"/>
    </xf>
    <xf numFmtId="49" fontId="13" fillId="0" borderId="14" xfId="0" applyNumberFormat="1" applyFont="1" applyFill="1" applyBorder="1" applyAlignment="1">
      <alignment horizontal="center" vertical="center" wrapText="1"/>
    </xf>
    <xf numFmtId="49" fontId="9" fillId="0" borderId="40" xfId="0" applyNumberFormat="1" applyFont="1" applyFill="1" applyBorder="1" applyAlignment="1">
      <alignment horizontal="center" vertical="top" wrapText="1"/>
    </xf>
    <xf numFmtId="49" fontId="9" fillId="0" borderId="52" xfId="0" applyNumberFormat="1" applyFont="1" applyFill="1" applyBorder="1" applyAlignment="1">
      <alignment horizontal="center" vertical="top" wrapText="1"/>
    </xf>
    <xf numFmtId="49" fontId="13" fillId="0" borderId="29" xfId="0" applyNumberFormat="1" applyFont="1" applyFill="1" applyBorder="1" applyAlignment="1">
      <alignment horizontal="center" vertical="center" wrapText="1"/>
    </xf>
    <xf numFmtId="49" fontId="9" fillId="0" borderId="26" xfId="0" applyNumberFormat="1" applyFont="1" applyFill="1" applyBorder="1" applyAlignment="1">
      <alignment horizontal="left" vertical="top" wrapText="1"/>
    </xf>
    <xf numFmtId="0" fontId="10" fillId="0" borderId="11" xfId="0" applyFont="1" applyBorder="1" applyAlignment="1">
      <alignment horizontal="left" vertical="top" wrapText="1"/>
    </xf>
    <xf numFmtId="49" fontId="9" fillId="0" borderId="29" xfId="5" applyNumberFormat="1" applyFont="1" applyFill="1" applyBorder="1" applyAlignment="1">
      <alignment vertical="center" wrapText="1"/>
    </xf>
  </cellXfs>
  <cellStyles count="7">
    <cellStyle name="Normal" xfId="0" builtinId="0"/>
    <cellStyle name="Normal_Program Check List1" xfId="6"/>
    <cellStyle name="Normal_単価テスト_財産管理" xfId="1"/>
    <cellStyle name="Percent" xfId="2" builtinId="5"/>
    <cellStyle name="標準_format(USI)" xfId="3"/>
    <cellStyle name="標準_Sheet1_コピー ～ 一括失効" xfId="4"/>
    <cellStyle name="標準_コピー ～ 一括失効" xfId="5"/>
  </cellStyles>
  <dxfs count="46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8846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698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3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D13" sqref="D13:J13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14</v>
      </c>
      <c r="C2" s="2"/>
    </row>
    <row r="3" spans="1:38" s="4" customFormat="1" ht="13.5" hidden="1" customHeight="1">
      <c r="B3" s="79"/>
      <c r="C3" s="81"/>
      <c r="D3" s="88"/>
      <c r="E3" s="89"/>
      <c r="F3" s="89"/>
      <c r="G3" s="89"/>
      <c r="H3" s="89"/>
      <c r="I3" s="89"/>
      <c r="J3" s="90"/>
      <c r="K3" s="82">
        <f ca="1">IF($D3="",0,MAX(INDIRECT("'"&amp;$D3&amp;"'!$H3:$AZ3")))</f>
        <v>0</v>
      </c>
      <c r="L3" s="83"/>
      <c r="M3" s="83"/>
      <c r="N3" s="84"/>
      <c r="O3" s="79" t="str">
        <f ca="1">IF($D3="","",COUNTIF(INDIRECT("'"&amp;$D3&amp;"'!$H"&amp;ROW(INDIRECT("'"&amp;$D3&amp;"'!TestResult"))&amp;":$AZ"&amp;ROW(INDIRECT("'"&amp;$D3&amp;"'!TestResult"))),O$9))</f>
        <v/>
      </c>
      <c r="P3" s="80"/>
      <c r="Q3" s="81"/>
      <c r="R3" s="79" t="str">
        <f ca="1">IF($D3="","",COUNTIF(INDIRECT("'"&amp;$D3&amp;"'!$H"&amp;ROW(INDIRECT("'"&amp;$D3&amp;"'!TestResult"))&amp;":$AZ"&amp;ROW(INDIRECT("'"&amp;$D3&amp;"'!TestResult"))),R$9))</f>
        <v/>
      </c>
      <c r="S3" s="80"/>
      <c r="T3" s="81"/>
      <c r="U3" s="79" t="str">
        <f ca="1">IF($D3="","",COUNTIF(INDIRECT("'"&amp;$D3&amp;"'!$H"&amp;ROW(INDIRECT("'"&amp;$D3&amp;"'!TestResult"))&amp;":$AZ"&amp;ROW(INDIRECT("'"&amp;$D3&amp;"'!TestResult"))),U$9))</f>
        <v/>
      </c>
      <c r="V3" s="80"/>
      <c r="W3" s="81"/>
      <c r="X3" s="79" t="str">
        <f ca="1">IF($D3="","",COUNTIF(INDIRECT("'"&amp;$D3&amp;"'!$H"&amp;ROW(INDIRECT("'"&amp;$D3&amp;"'!TestResult"))&amp;":$AZ"&amp;ROW(INDIRECT("'"&amp;$D3&amp;"'!TestResult"))),X$9))</f>
        <v/>
      </c>
      <c r="Y3" s="80"/>
      <c r="Z3" s="81"/>
      <c r="AA3" s="82">
        <f ca="1">SUM(O3:Z3)</f>
        <v>0</v>
      </c>
      <c r="AB3" s="83"/>
      <c r="AC3" s="83"/>
      <c r="AD3" s="84"/>
      <c r="AE3" s="82">
        <f ca="1">K3-AA3</f>
        <v>0</v>
      </c>
      <c r="AF3" s="83"/>
      <c r="AG3" s="83"/>
      <c r="AH3" s="84"/>
      <c r="AI3" s="85" t="str">
        <f ca="1">IF($D3="","",SUM(INDIRECT("'"&amp;$D3&amp;"'!BugCount")))</f>
        <v/>
      </c>
      <c r="AJ3" s="86"/>
      <c r="AK3" s="86"/>
      <c r="AL3" s="87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91" t="s">
        <v>65</v>
      </c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  <c r="AJ6" s="92"/>
      <c r="AK6" s="92"/>
      <c r="AL6" s="93"/>
    </row>
    <row r="8" spans="1:38" ht="13.5" customHeight="1">
      <c r="B8" s="100"/>
      <c r="C8" s="101"/>
      <c r="D8" s="100"/>
      <c r="E8" s="102"/>
      <c r="F8" s="102"/>
      <c r="G8" s="102"/>
      <c r="H8" s="102"/>
      <c r="I8" s="102"/>
      <c r="J8" s="101"/>
      <c r="K8" s="110" t="s">
        <v>2</v>
      </c>
      <c r="L8" s="111"/>
      <c r="M8" s="111"/>
      <c r="N8" s="112"/>
      <c r="O8" s="119" t="s">
        <v>1</v>
      </c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1"/>
      <c r="AA8" s="110" t="s">
        <v>33</v>
      </c>
      <c r="AB8" s="111"/>
      <c r="AC8" s="111"/>
      <c r="AD8" s="112"/>
      <c r="AE8" s="110" t="s">
        <v>33</v>
      </c>
      <c r="AF8" s="111"/>
      <c r="AG8" s="111"/>
      <c r="AH8" s="112"/>
      <c r="AI8" s="107"/>
      <c r="AJ8" s="108"/>
      <c r="AK8" s="108"/>
      <c r="AL8" s="109"/>
    </row>
    <row r="9" spans="1:38" s="4" customFormat="1">
      <c r="B9" s="128" t="s">
        <v>15</v>
      </c>
      <c r="C9" s="129"/>
      <c r="D9" s="128" t="s">
        <v>16</v>
      </c>
      <c r="E9" s="130"/>
      <c r="F9" s="130"/>
      <c r="G9" s="130"/>
      <c r="H9" s="130"/>
      <c r="I9" s="130"/>
      <c r="J9" s="129"/>
      <c r="K9" s="97" t="s">
        <v>31</v>
      </c>
      <c r="L9" s="98"/>
      <c r="M9" s="98"/>
      <c r="N9" s="99"/>
      <c r="O9" s="94" t="s">
        <v>17</v>
      </c>
      <c r="P9" s="95"/>
      <c r="Q9" s="96"/>
      <c r="R9" s="94" t="s">
        <v>18</v>
      </c>
      <c r="S9" s="95"/>
      <c r="T9" s="96"/>
      <c r="U9" s="94" t="s">
        <v>19</v>
      </c>
      <c r="V9" s="95"/>
      <c r="W9" s="96"/>
      <c r="X9" s="94" t="s">
        <v>20</v>
      </c>
      <c r="Y9" s="95"/>
      <c r="Z9" s="96"/>
      <c r="AA9" s="97" t="s">
        <v>32</v>
      </c>
      <c r="AB9" s="98"/>
      <c r="AC9" s="98"/>
      <c r="AD9" s="99"/>
      <c r="AE9" s="97" t="s">
        <v>34</v>
      </c>
      <c r="AF9" s="98"/>
      <c r="AG9" s="98"/>
      <c r="AH9" s="99"/>
      <c r="AI9" s="131" t="s">
        <v>35</v>
      </c>
      <c r="AJ9" s="132"/>
      <c r="AK9" s="132"/>
      <c r="AL9" s="133"/>
    </row>
    <row r="10" spans="1:38" s="4" customFormat="1">
      <c r="B10" s="79">
        <v>1</v>
      </c>
      <c r="C10" s="81"/>
      <c r="D10" s="88" t="s">
        <v>57</v>
      </c>
      <c r="E10" s="89"/>
      <c r="F10" s="89"/>
      <c r="G10" s="89"/>
      <c r="H10" s="89"/>
      <c r="I10" s="89"/>
      <c r="J10" s="90"/>
      <c r="K10" s="82">
        <f ca="1">IF($D10="",0,MAX(INDIRECT("'"&amp;$D10&amp;"'!$H3:$AZ3")))</f>
        <v>5</v>
      </c>
      <c r="L10" s="83"/>
      <c r="M10" s="83"/>
      <c r="N10" s="84"/>
      <c r="O10" s="79">
        <f ca="1">IF($D10="","",COUNTIF(INDIRECT("'"&amp;$D10&amp;"'!$H"&amp;ROW(INDIRECT("'"&amp;$D10&amp;"'!TestResult"))&amp;":$AZ"&amp;ROW(INDIRECT("'"&amp;$D10&amp;"'!TestResult"))),O$9))</f>
        <v>5</v>
      </c>
      <c r="P10" s="80"/>
      <c r="Q10" s="81"/>
      <c r="R10" s="79">
        <f ca="1">IF($D10="","",COUNTIF(INDIRECT("'"&amp;$D10&amp;"'!$H"&amp;ROW(INDIRECT("'"&amp;$D10&amp;"'!TestResult"))&amp;":$AZ"&amp;ROW(INDIRECT("'"&amp;$D10&amp;"'!TestResult"))),R$9))</f>
        <v>0</v>
      </c>
      <c r="S10" s="80"/>
      <c r="T10" s="81"/>
      <c r="U10" s="79">
        <f ca="1">IF($D10="","",COUNTIF(INDIRECT("'"&amp;$D10&amp;"'!$H"&amp;ROW(INDIRECT("'"&amp;$D10&amp;"'!TestResult"))&amp;":$AZ"&amp;ROW(INDIRECT("'"&amp;$D10&amp;"'!TestResult"))),U$9))</f>
        <v>0</v>
      </c>
      <c r="V10" s="80"/>
      <c r="W10" s="81"/>
      <c r="X10" s="79">
        <f ca="1">IF($D10="","",COUNTIF(INDIRECT("'"&amp;$D10&amp;"'!$H"&amp;ROW(INDIRECT("'"&amp;$D10&amp;"'!TestResult"))&amp;":$AZ"&amp;ROW(INDIRECT("'"&amp;$D10&amp;"'!TestResult"))),X$9))</f>
        <v>0</v>
      </c>
      <c r="Y10" s="80"/>
      <c r="Z10" s="81"/>
      <c r="AA10" s="82">
        <f ca="1">SUM(O10:Z10)</f>
        <v>5</v>
      </c>
      <c r="AB10" s="83"/>
      <c r="AC10" s="83"/>
      <c r="AD10" s="84"/>
      <c r="AE10" s="82">
        <f ca="1">K10-AA10</f>
        <v>0</v>
      </c>
      <c r="AF10" s="83"/>
      <c r="AG10" s="83"/>
      <c r="AH10" s="84"/>
      <c r="AI10" s="85">
        <f ca="1">IF($D10="","",SUM(INDIRECT("'"&amp;$D10&amp;"'!BugCount")))</f>
        <v>0</v>
      </c>
      <c r="AJ10" s="86"/>
      <c r="AK10" s="86"/>
      <c r="AL10" s="87"/>
    </row>
    <row r="11" spans="1:38" s="4" customFormat="1">
      <c r="B11" s="79">
        <v>2</v>
      </c>
      <c r="C11" s="81"/>
      <c r="D11" s="88" t="s">
        <v>83</v>
      </c>
      <c r="E11" s="89"/>
      <c r="F11" s="89"/>
      <c r="G11" s="89"/>
      <c r="H11" s="89"/>
      <c r="I11" s="89"/>
      <c r="J11" s="90"/>
      <c r="K11" s="82">
        <f ca="1">IF($D11="",0,MAX(INDIRECT("'"&amp;$D11&amp;"'!$H3:$AZ3")))</f>
        <v>2</v>
      </c>
      <c r="L11" s="83"/>
      <c r="M11" s="83"/>
      <c r="N11" s="84"/>
      <c r="O11" s="79">
        <f ca="1">IF($D11="","",COUNTIF(INDIRECT("'"&amp;$D11&amp;"'!$H"&amp;ROW(INDIRECT("'"&amp;$D11&amp;"'!TestResult"))&amp;":$AZ"&amp;ROW(INDIRECT("'"&amp;$D11&amp;"'!TestResult"))),O$9))</f>
        <v>2</v>
      </c>
      <c r="P11" s="80"/>
      <c r="Q11" s="81"/>
      <c r="R11" s="79">
        <f ca="1">IF($D11="","",COUNTIF(INDIRECT("'"&amp;$D11&amp;"'!$H"&amp;ROW(INDIRECT("'"&amp;$D11&amp;"'!TestResult"))&amp;":$AZ"&amp;ROW(INDIRECT("'"&amp;$D11&amp;"'!TestResult"))),R$9))</f>
        <v>0</v>
      </c>
      <c r="S11" s="80"/>
      <c r="T11" s="81"/>
      <c r="U11" s="79">
        <f ca="1">IF($D11="","",COUNTIF(INDIRECT("'"&amp;$D11&amp;"'!$H"&amp;ROW(INDIRECT("'"&amp;$D11&amp;"'!TestResult"))&amp;":$AZ"&amp;ROW(INDIRECT("'"&amp;$D11&amp;"'!TestResult"))),U$9))</f>
        <v>0</v>
      </c>
      <c r="V11" s="80"/>
      <c r="W11" s="81"/>
      <c r="X11" s="79">
        <f ca="1">IF($D11="","",COUNTIF(INDIRECT("'"&amp;$D11&amp;"'!$H"&amp;ROW(INDIRECT("'"&amp;$D11&amp;"'!TestResult"))&amp;":$AZ"&amp;ROW(INDIRECT("'"&amp;$D11&amp;"'!TestResult"))),X$9))</f>
        <v>0</v>
      </c>
      <c r="Y11" s="80"/>
      <c r="Z11" s="81"/>
      <c r="AA11" s="82">
        <f ca="1">SUM(O11:Z11)</f>
        <v>2</v>
      </c>
      <c r="AB11" s="83"/>
      <c r="AC11" s="83"/>
      <c r="AD11" s="84"/>
      <c r="AE11" s="82">
        <f ca="1">K11-AA11</f>
        <v>0</v>
      </c>
      <c r="AF11" s="83"/>
      <c r="AG11" s="83"/>
      <c r="AH11" s="84"/>
      <c r="AI11" s="85">
        <f ca="1">IF($D11="","",SUM(INDIRECT("'"&amp;$D11&amp;"'!BugCount")))</f>
        <v>0</v>
      </c>
      <c r="AJ11" s="86"/>
      <c r="AK11" s="86"/>
      <c r="AL11" s="87"/>
    </row>
    <row r="12" spans="1:38" s="4" customFormat="1">
      <c r="B12" s="79">
        <v>3</v>
      </c>
      <c r="C12" s="81"/>
      <c r="D12" s="88" t="s">
        <v>108</v>
      </c>
      <c r="E12" s="89"/>
      <c r="F12" s="89"/>
      <c r="G12" s="89"/>
      <c r="H12" s="89"/>
      <c r="I12" s="89"/>
      <c r="J12" s="90"/>
      <c r="K12" s="82">
        <f ca="1">IF($D12="",0,MAX(INDIRECT("'"&amp;$D12&amp;"'!$H3:$AZ3")))</f>
        <v>2</v>
      </c>
      <c r="L12" s="83"/>
      <c r="M12" s="83"/>
      <c r="N12" s="84"/>
      <c r="O12" s="79">
        <f ca="1">IF($D12="","",COUNTIF(INDIRECT("'"&amp;$D12&amp;"'!$H"&amp;ROW(INDIRECT("'"&amp;$D12&amp;"'!TestResult"))&amp;":$AZ"&amp;ROW(INDIRECT("'"&amp;$D12&amp;"'!TestResult"))),O$9))</f>
        <v>2</v>
      </c>
      <c r="P12" s="80"/>
      <c r="Q12" s="81"/>
      <c r="R12" s="79">
        <f ca="1">IF($D12="","",COUNTIF(INDIRECT("'"&amp;$D12&amp;"'!$H"&amp;ROW(INDIRECT("'"&amp;$D12&amp;"'!TestResult"))&amp;":$AZ"&amp;ROW(INDIRECT("'"&amp;$D12&amp;"'!TestResult"))),R$9))</f>
        <v>0</v>
      </c>
      <c r="S12" s="80"/>
      <c r="T12" s="81"/>
      <c r="U12" s="79">
        <f ca="1">IF($D12="","",COUNTIF(INDIRECT("'"&amp;$D12&amp;"'!$H"&amp;ROW(INDIRECT("'"&amp;$D12&amp;"'!TestResult"))&amp;":$AZ"&amp;ROW(INDIRECT("'"&amp;$D12&amp;"'!TestResult"))),U$9))</f>
        <v>0</v>
      </c>
      <c r="V12" s="80"/>
      <c r="W12" s="81"/>
      <c r="X12" s="79">
        <f ca="1">IF($D12="","",COUNTIF(INDIRECT("'"&amp;$D12&amp;"'!$H"&amp;ROW(INDIRECT("'"&amp;$D12&amp;"'!TestResult"))&amp;":$AZ"&amp;ROW(INDIRECT("'"&amp;$D12&amp;"'!TestResult"))),X$9))</f>
        <v>0</v>
      </c>
      <c r="Y12" s="80"/>
      <c r="Z12" s="81"/>
      <c r="AA12" s="82">
        <f ca="1">SUM(O12:Z12)</f>
        <v>2</v>
      </c>
      <c r="AB12" s="83"/>
      <c r="AC12" s="83"/>
      <c r="AD12" s="84"/>
      <c r="AE12" s="82">
        <f ca="1">K12-AA12</f>
        <v>0</v>
      </c>
      <c r="AF12" s="83"/>
      <c r="AG12" s="83"/>
      <c r="AH12" s="84"/>
      <c r="AI12" s="85">
        <f ca="1">IF($D12="","",SUM(INDIRECT("'"&amp;$D12&amp;"'!BugCount")))</f>
        <v>0</v>
      </c>
      <c r="AJ12" s="86"/>
      <c r="AK12" s="86"/>
      <c r="AL12" s="87"/>
    </row>
    <row r="13" spans="1:38" s="4" customFormat="1">
      <c r="B13" s="79">
        <v>4</v>
      </c>
      <c r="C13" s="81"/>
      <c r="D13" s="88" t="s">
        <v>113</v>
      </c>
      <c r="E13" s="89"/>
      <c r="F13" s="89"/>
      <c r="G13" s="89"/>
      <c r="H13" s="89"/>
      <c r="I13" s="89"/>
      <c r="J13" s="90"/>
      <c r="K13" s="82">
        <f ca="1">IF($D13="",0,MAX(INDIRECT("'"&amp;$D13&amp;"'!$H3:$AZ3")))</f>
        <v>2</v>
      </c>
      <c r="L13" s="83"/>
      <c r="M13" s="83"/>
      <c r="N13" s="84"/>
      <c r="O13" s="79">
        <f ca="1">IF($D13="","",COUNTIF(INDIRECT("'"&amp;$D13&amp;"'!$H"&amp;ROW(INDIRECT("'"&amp;$D13&amp;"'!TestResult"))&amp;":$AZ"&amp;ROW(INDIRECT("'"&amp;$D13&amp;"'!TestResult"))),O$9))</f>
        <v>2</v>
      </c>
      <c r="P13" s="80"/>
      <c r="Q13" s="81"/>
      <c r="R13" s="79">
        <f ca="1">IF($D13="","",COUNTIF(INDIRECT("'"&amp;$D13&amp;"'!$H"&amp;ROW(INDIRECT("'"&amp;$D13&amp;"'!TestResult"))&amp;":$AZ"&amp;ROW(INDIRECT("'"&amp;$D13&amp;"'!TestResult"))),R$9))</f>
        <v>0</v>
      </c>
      <c r="S13" s="80"/>
      <c r="T13" s="81"/>
      <c r="U13" s="79">
        <f ca="1">IF($D13="","",COUNTIF(INDIRECT("'"&amp;$D13&amp;"'!$H"&amp;ROW(INDIRECT("'"&amp;$D13&amp;"'!TestResult"))&amp;":$AZ"&amp;ROW(INDIRECT("'"&amp;$D13&amp;"'!TestResult"))),U$9))</f>
        <v>0</v>
      </c>
      <c r="V13" s="80"/>
      <c r="W13" s="81"/>
      <c r="X13" s="79">
        <f ca="1">IF($D13="","",COUNTIF(INDIRECT("'"&amp;$D13&amp;"'!$H"&amp;ROW(INDIRECT("'"&amp;$D13&amp;"'!TestResult"))&amp;":$AZ"&amp;ROW(INDIRECT("'"&amp;$D13&amp;"'!TestResult"))),X$9))</f>
        <v>0</v>
      </c>
      <c r="Y13" s="80"/>
      <c r="Z13" s="81"/>
      <c r="AA13" s="82">
        <f ca="1">SUM(O13:Z13)</f>
        <v>2</v>
      </c>
      <c r="AB13" s="83"/>
      <c r="AC13" s="83"/>
      <c r="AD13" s="84"/>
      <c r="AE13" s="82">
        <f ca="1">K13-AA13</f>
        <v>0</v>
      </c>
      <c r="AF13" s="83"/>
      <c r="AG13" s="83"/>
      <c r="AH13" s="84"/>
      <c r="AI13" s="85">
        <f ca="1">IF($D13="","",SUM(INDIRECT("'"&amp;$D13&amp;"'!BugCount")))</f>
        <v>0</v>
      </c>
      <c r="AJ13" s="86"/>
      <c r="AK13" s="86"/>
      <c r="AL13" s="87"/>
    </row>
    <row r="14" spans="1:38" s="8" customFormat="1" ht="20.25">
      <c r="B14" s="5"/>
      <c r="C14" s="5"/>
      <c r="D14" s="6"/>
      <c r="E14" s="52"/>
      <c r="F14" s="52"/>
      <c r="G14" s="52"/>
      <c r="H14" s="52"/>
      <c r="I14" s="52"/>
      <c r="J14" s="52"/>
      <c r="K14" s="7"/>
      <c r="L14" s="7"/>
      <c r="M14" s="7"/>
      <c r="N14" s="7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7"/>
      <c r="AG14" s="7"/>
      <c r="AH14" s="7"/>
      <c r="AI14" s="7"/>
      <c r="AJ14" s="7"/>
      <c r="AK14" s="7"/>
      <c r="AL14" s="7"/>
    </row>
    <row r="15" spans="1:38" s="4" customFormat="1">
      <c r="A15" s="4" t="s">
        <v>41</v>
      </c>
      <c r="B15" s="116" t="s">
        <v>2</v>
      </c>
      <c r="C15" s="117"/>
      <c r="D15" s="117"/>
      <c r="E15" s="117"/>
      <c r="F15" s="117"/>
      <c r="G15" s="117"/>
      <c r="H15" s="117"/>
      <c r="I15" s="117"/>
      <c r="J15" s="118"/>
      <c r="K15" s="122">
        <f ca="1">SUBTOTAL(9,K9:K14)</f>
        <v>11</v>
      </c>
      <c r="L15" s="123"/>
      <c r="M15" s="123"/>
      <c r="N15" s="124"/>
      <c r="O15" s="113">
        <f ca="1">SUBTOTAL(9,O9:O14)</f>
        <v>11</v>
      </c>
      <c r="P15" s="114"/>
      <c r="Q15" s="115"/>
      <c r="R15" s="113">
        <f ca="1">SUBTOTAL(9,R9:R14)</f>
        <v>0</v>
      </c>
      <c r="S15" s="114"/>
      <c r="T15" s="115"/>
      <c r="U15" s="113">
        <f ca="1">SUBTOTAL(9,U9:U14)</f>
        <v>0</v>
      </c>
      <c r="V15" s="114"/>
      <c r="W15" s="115"/>
      <c r="X15" s="113">
        <f ca="1">SUBTOTAL(9,X9:X14)</f>
        <v>0</v>
      </c>
      <c r="Y15" s="114"/>
      <c r="Z15" s="115"/>
      <c r="AA15" s="113">
        <f ca="1">SUBTOTAL(9,AA9:AA14)</f>
        <v>11</v>
      </c>
      <c r="AB15" s="114"/>
      <c r="AC15" s="114"/>
      <c r="AD15" s="115"/>
      <c r="AE15" s="113">
        <f ca="1">SUBTOTAL(9,AE9:AE14)</f>
        <v>0</v>
      </c>
      <c r="AF15" s="114"/>
      <c r="AG15" s="114"/>
      <c r="AH15" s="115"/>
      <c r="AI15" s="122">
        <f ca="1">SUBTOTAL(9,AI9:AI14)</f>
        <v>0</v>
      </c>
      <c r="AJ15" s="123"/>
      <c r="AK15" s="123"/>
      <c r="AL15" s="124"/>
    </row>
    <row r="16" spans="1:38" s="4" customFormat="1" ht="12.75" customHeight="1">
      <c r="B16" s="116" t="s">
        <v>3</v>
      </c>
      <c r="C16" s="117"/>
      <c r="D16" s="117"/>
      <c r="E16" s="117"/>
      <c r="F16" s="117"/>
      <c r="G16" s="117"/>
      <c r="H16" s="117"/>
      <c r="I16" s="117"/>
      <c r="J16" s="118"/>
      <c r="K16" s="125"/>
      <c r="L16" s="126"/>
      <c r="M16" s="126"/>
      <c r="N16" s="127"/>
      <c r="O16" s="104">
        <f ca="1">IF(ISERR(O15/$K$15),0,O15/$K$15)</f>
        <v>1</v>
      </c>
      <c r="P16" s="105"/>
      <c r="Q16" s="106"/>
      <c r="R16" s="104">
        <f ca="1">IF(ISERR(R15/$K$15),0,R15/$K$15)</f>
        <v>0</v>
      </c>
      <c r="S16" s="105"/>
      <c r="T16" s="106"/>
      <c r="U16" s="104">
        <f ca="1">IF(ISERR(U15/$K$15),0,U15/$K$15)</f>
        <v>0</v>
      </c>
      <c r="V16" s="105"/>
      <c r="W16" s="106"/>
      <c r="X16" s="104">
        <f ca="1">IF(ISERR(X15/$K$15),0,X15/$K$15)</f>
        <v>0</v>
      </c>
      <c r="Y16" s="105"/>
      <c r="Z16" s="106"/>
      <c r="AA16" s="104">
        <f ca="1">IF(ISERR(AA15/$K$15),0,AA15/$K$15)</f>
        <v>1</v>
      </c>
      <c r="AB16" s="105"/>
      <c r="AC16" s="105"/>
      <c r="AD16" s="106"/>
      <c r="AE16" s="104">
        <f ca="1">IF(ISERR(AE15/$K$15),0,AE15/$K$15)</f>
        <v>0</v>
      </c>
      <c r="AF16" s="105"/>
      <c r="AG16" s="105"/>
      <c r="AH16" s="106"/>
      <c r="AI16" s="125"/>
      <c r="AJ16" s="126"/>
      <c r="AK16" s="126"/>
      <c r="AL16" s="127"/>
    </row>
    <row r="32" spans="2:15" ht="15" customHeight="1">
      <c r="B32" s="103" t="s">
        <v>48</v>
      </c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</row>
    <row r="33" spans="2:15"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85">
    <mergeCell ref="X13:Z13"/>
    <mergeCell ref="AA13:AD13"/>
    <mergeCell ref="AE13:AH13"/>
    <mergeCell ref="AI13:AL13"/>
    <mergeCell ref="B13:C13"/>
    <mergeCell ref="D13:J13"/>
    <mergeCell ref="K13:N13"/>
    <mergeCell ref="O13:Q13"/>
    <mergeCell ref="R13:T13"/>
    <mergeCell ref="B11:C11"/>
    <mergeCell ref="D11:J11"/>
    <mergeCell ref="K11:N11"/>
    <mergeCell ref="O11:Q11"/>
    <mergeCell ref="R11:T11"/>
    <mergeCell ref="AI15:AL16"/>
    <mergeCell ref="B16:J16"/>
    <mergeCell ref="B9:C9"/>
    <mergeCell ref="D9:J9"/>
    <mergeCell ref="X16:Z16"/>
    <mergeCell ref="K15:N16"/>
    <mergeCell ref="O15:Q15"/>
    <mergeCell ref="AE15:AH15"/>
    <mergeCell ref="AE16:AH16"/>
    <mergeCell ref="R16:T16"/>
    <mergeCell ref="AA16:AD16"/>
    <mergeCell ref="AA15:AD15"/>
    <mergeCell ref="AI9:AL9"/>
    <mergeCell ref="AE11:AH11"/>
    <mergeCell ref="AA10:AD10"/>
    <mergeCell ref="AE10:AH10"/>
    <mergeCell ref="K3:N3"/>
    <mergeCell ref="O3:Q3"/>
    <mergeCell ref="X15:Z15"/>
    <mergeCell ref="U15:W15"/>
    <mergeCell ref="R15:T15"/>
    <mergeCell ref="K8:N8"/>
    <mergeCell ref="O8:Z8"/>
    <mergeCell ref="X9:Z9"/>
    <mergeCell ref="R9:T9"/>
    <mergeCell ref="U9:W9"/>
    <mergeCell ref="R3:T3"/>
    <mergeCell ref="U3:W3"/>
    <mergeCell ref="X10:Z10"/>
    <mergeCell ref="U11:W11"/>
    <mergeCell ref="X11:Z11"/>
    <mergeCell ref="U13:W13"/>
    <mergeCell ref="B32:O33"/>
    <mergeCell ref="U16:W16"/>
    <mergeCell ref="B10:C10"/>
    <mergeCell ref="D10:J10"/>
    <mergeCell ref="K10:N10"/>
    <mergeCell ref="O16:Q16"/>
    <mergeCell ref="O10:Q10"/>
    <mergeCell ref="R10:T10"/>
    <mergeCell ref="U10:W10"/>
    <mergeCell ref="B12:C12"/>
    <mergeCell ref="D12:J12"/>
    <mergeCell ref="K12:N12"/>
    <mergeCell ref="O12:Q12"/>
    <mergeCell ref="R12:T12"/>
    <mergeCell ref="U12:W12"/>
    <mergeCell ref="B15:J15"/>
    <mergeCell ref="X3:Z3"/>
    <mergeCell ref="AA3:AD3"/>
    <mergeCell ref="B6:AL6"/>
    <mergeCell ref="O9:Q9"/>
    <mergeCell ref="K9:N9"/>
    <mergeCell ref="B8:C8"/>
    <mergeCell ref="D8:J8"/>
    <mergeCell ref="AE3:AH3"/>
    <mergeCell ref="AI3:AL3"/>
    <mergeCell ref="AI8:AL8"/>
    <mergeCell ref="AA9:AD9"/>
    <mergeCell ref="AA8:AD8"/>
    <mergeCell ref="AE8:AH8"/>
    <mergeCell ref="AE9:AH9"/>
    <mergeCell ref="B3:C3"/>
    <mergeCell ref="D3:J3"/>
    <mergeCell ref="AI10:AL10"/>
    <mergeCell ref="X12:Z12"/>
    <mergeCell ref="AA12:AD12"/>
    <mergeCell ref="AE12:AH12"/>
    <mergeCell ref="AI12:AL12"/>
    <mergeCell ref="AI11:AL11"/>
    <mergeCell ref="AA11:AD11"/>
  </mergeCells>
  <phoneticPr fontId="2"/>
  <conditionalFormatting sqref="K14:AL14 K4:AL4 AI3:AL3 K3:AE3 AI10:AL13 K10:AE13">
    <cfRule type="cellIs" dxfId="20" priority="6" stopIfTrue="1" operator="lessThan">
      <formula>0</formula>
    </cfRule>
  </conditionalFormatting>
  <printOptions horizontalCentered="1"/>
  <pageMargins left="0.55118110236220497" right="0.46" top="0.98425196850393704" bottom="0.98425196850393704" header="0.511811023622047" footer="0.511811023622047"/>
  <pageSetup paperSize="9" scale="90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F32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AC1" sqref="AC1:AF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80" t="s">
        <v>51</v>
      </c>
      <c r="C1" s="181"/>
      <c r="D1" s="181"/>
      <c r="E1" s="182"/>
      <c r="F1" s="180" t="s">
        <v>86</v>
      </c>
      <c r="G1" s="181"/>
      <c r="H1" s="181"/>
      <c r="I1" s="181"/>
      <c r="J1" s="181"/>
      <c r="K1" s="181"/>
      <c r="L1" s="181"/>
      <c r="M1" s="181"/>
      <c r="N1" s="181"/>
      <c r="O1" s="182"/>
      <c r="P1" s="183" t="s">
        <v>0</v>
      </c>
      <c r="Q1" s="184"/>
      <c r="R1" s="184"/>
      <c r="S1" s="185"/>
      <c r="T1" s="180" t="s">
        <v>64</v>
      </c>
      <c r="U1" s="181"/>
      <c r="V1" s="181"/>
      <c r="W1" s="181"/>
      <c r="X1" s="181"/>
      <c r="Y1" s="181"/>
      <c r="Z1" s="182"/>
      <c r="AA1" s="186" t="s">
        <v>10</v>
      </c>
      <c r="AB1" s="186"/>
      <c r="AC1" s="172">
        <v>43687</v>
      </c>
      <c r="AD1" s="172"/>
      <c r="AE1" s="172"/>
      <c r="AF1" s="173"/>
    </row>
    <row r="2" spans="1:32" ht="20.100000000000001" customHeight="1" thickBot="1">
      <c r="A2" s="64" t="s">
        <v>4</v>
      </c>
      <c r="B2" s="174" t="s">
        <v>52</v>
      </c>
      <c r="C2" s="175"/>
      <c r="D2" s="175"/>
      <c r="E2" s="176"/>
      <c r="F2" s="174" t="s">
        <v>87</v>
      </c>
      <c r="G2" s="175"/>
      <c r="H2" s="176"/>
      <c r="I2" s="146" t="s">
        <v>50</v>
      </c>
      <c r="J2" s="147"/>
      <c r="K2" s="147"/>
      <c r="L2" s="147"/>
      <c r="M2" s="147"/>
      <c r="N2" s="147"/>
      <c r="O2" s="148"/>
      <c r="P2" s="174"/>
      <c r="Q2" s="175"/>
      <c r="R2" s="175"/>
      <c r="S2" s="175"/>
      <c r="T2" s="175"/>
      <c r="U2" s="175"/>
      <c r="V2" s="175"/>
      <c r="W2" s="175"/>
      <c r="X2" s="175"/>
      <c r="Y2" s="175"/>
      <c r="Z2" s="176"/>
      <c r="AA2" s="177" t="s">
        <v>12</v>
      </c>
      <c r="AB2" s="178"/>
      <c r="AC2" s="174" t="s">
        <v>13</v>
      </c>
      <c r="AD2" s="175"/>
      <c r="AE2" s="175"/>
      <c r="AF2" s="179"/>
    </row>
    <row r="3" spans="1:32" ht="37.5" customHeight="1" thickBot="1">
      <c r="A3" s="66" t="s">
        <v>42</v>
      </c>
      <c r="B3" s="10"/>
      <c r="C3" s="10"/>
      <c r="D3" s="10"/>
      <c r="E3" s="10"/>
      <c r="F3" s="10"/>
      <c r="G3" s="65" t="s">
        <v>43</v>
      </c>
      <c r="H3" s="11">
        <f>IF(COUNTA(H4:H26)&gt;0,1,"")</f>
        <v>1</v>
      </c>
      <c r="I3" s="12">
        <f>IF(COUNTA(I4:I26)&gt;0,IF(H3&gt;0,H3+1,""),"")</f>
        <v>2</v>
      </c>
      <c r="J3" s="12">
        <f>IF(COUNTA(J4:J26)&gt;0,IF(I3&gt;0,I3+1,""),"")</f>
        <v>3</v>
      </c>
      <c r="K3" s="12">
        <f>IF(COUNTA(K4:K26)&gt;0,IF(J3&gt;0,J3+1,""),"")</f>
        <v>4</v>
      </c>
      <c r="L3" s="12">
        <f>IF(COUNTA(L4:L26)&gt;0,IF(K3&gt;0,K3+1,""),"")</f>
        <v>5</v>
      </c>
      <c r="M3" s="12" t="str">
        <f>IF(COUNTA(M4:M26)&gt;0,IF(L3&gt;0,L3+1,""),"")</f>
        <v/>
      </c>
      <c r="N3" s="12" t="str">
        <f>IF(COUNTA(N4:N26)&gt;0,IF(M3&gt;0,M3+1,""),"")</f>
        <v/>
      </c>
      <c r="O3" s="12" t="str">
        <f>IF(COUNTA(O4:O26)&gt;0,IF(N3&gt;0,N3+1,""),"")</f>
        <v/>
      </c>
      <c r="P3" s="12" t="str">
        <f>IF(COUNTA(P4:P26)&gt;0,IF(O3&gt;0,O3+1,""),"")</f>
        <v/>
      </c>
      <c r="Q3" s="12" t="str">
        <f>IF(COUNTA(Q4:Q26)&gt;0,IF(P3&gt;0,P3+1,""),"")</f>
        <v/>
      </c>
      <c r="R3" s="12" t="str">
        <f>IF(COUNTA(R4:R26)&gt;0,IF(Q3&gt;0,Q3+1,""),"")</f>
        <v/>
      </c>
      <c r="S3" s="12" t="str">
        <f>IF(COUNTA(S4:S26)&gt;0,IF(R3&gt;0,R3+1,""),"")</f>
        <v/>
      </c>
      <c r="T3" s="12" t="str">
        <f>IF(COUNTA(T4:T26)&gt;0,IF(S3&gt;0,S3+1,""),"")</f>
        <v/>
      </c>
      <c r="U3" s="12" t="str">
        <f>IF(COUNTA(U4:U26)&gt;0,IF(T3&gt;0,T3+1,""),"")</f>
        <v/>
      </c>
      <c r="V3" s="12" t="str">
        <f>IF(COUNTA(V4:V26)&gt;0,IF(U3&gt;0,U3+1,""),"")</f>
        <v/>
      </c>
      <c r="W3" s="12" t="str">
        <f>IF(COUNTA(W4:W26)&gt;0,IF(V3&gt;0,V3+1,""),"")</f>
        <v/>
      </c>
      <c r="X3" s="12" t="str">
        <f>IF(COUNTA(X4:X26)&gt;0,IF(W3&gt;0,W3+1,""),"")</f>
        <v/>
      </c>
      <c r="Y3" s="12" t="str">
        <f>IF(COUNTA(Y4:Y26)&gt;0,IF(X3&gt;0,X3+1,""),"")</f>
        <v/>
      </c>
      <c r="Z3" s="12" t="str">
        <f>IF(COUNTA(Z4:Z26)&gt;0,IF(Y3&gt;0,Y3+1,""),"")</f>
        <v/>
      </c>
      <c r="AA3" s="12" t="str">
        <f>IF(COUNTA(AA4:AA26)&gt;0,IF(Z3&gt;0,Z3+1,""),"")</f>
        <v/>
      </c>
      <c r="AB3" s="12" t="str">
        <f>IF(COUNTA(AB4:AB26)&gt;0,IF(AA3&gt;0,AA3+1,""),"")</f>
        <v/>
      </c>
      <c r="AC3" s="12" t="str">
        <f>IF(COUNTA(AC4:AC26)&gt;0,IF(AB3&gt;0,AB3+1,""),"")</f>
        <v/>
      </c>
      <c r="AD3" s="12" t="str">
        <f>IF(COUNTA(AD4:AD26)&gt;0,IF(AC3&gt;0,AC3+1,""),"")</f>
        <v/>
      </c>
      <c r="AE3" s="12" t="str">
        <f>IF(COUNTA(AE4:AE26)&gt;0,IF(AD3&gt;0,AD3+1,""),"")</f>
        <v/>
      </c>
      <c r="AF3" s="13" t="str">
        <f>IF(COUNTA(AF4:AF26)&gt;0,IF(AE3&gt;0,AE3+1,""),"")</f>
        <v/>
      </c>
    </row>
    <row r="4" spans="1:32" s="17" customFormat="1" ht="13.5" customHeight="1">
      <c r="A4" s="158" t="s">
        <v>44</v>
      </c>
      <c r="B4" s="160" t="s">
        <v>106</v>
      </c>
      <c r="C4" s="161"/>
      <c r="D4" s="161"/>
      <c r="E4" s="161"/>
      <c r="F4" s="161"/>
      <c r="G4" s="162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9"/>
      <c r="B5" s="163" t="s">
        <v>50</v>
      </c>
      <c r="C5" s="195"/>
      <c r="D5" s="195"/>
      <c r="E5" s="195"/>
      <c r="F5" s="195"/>
      <c r="G5" s="195"/>
      <c r="H5" s="205" t="s">
        <v>74</v>
      </c>
      <c r="I5" s="206" t="s">
        <v>74</v>
      </c>
      <c r="J5" s="206" t="s">
        <v>73</v>
      </c>
      <c r="K5" s="206" t="s">
        <v>73</v>
      </c>
      <c r="L5" s="206" t="s">
        <v>74</v>
      </c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59"/>
      <c r="B6" s="207"/>
      <c r="C6" s="189" t="s">
        <v>71</v>
      </c>
      <c r="D6" s="139"/>
      <c r="E6" s="139"/>
      <c r="F6" s="139"/>
      <c r="G6" s="139"/>
      <c r="H6" s="76" t="s">
        <v>73</v>
      </c>
      <c r="I6" s="62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59"/>
      <c r="B7" s="208"/>
      <c r="C7" s="163" t="s">
        <v>67</v>
      </c>
      <c r="D7" s="139"/>
      <c r="E7" s="139"/>
      <c r="F7" s="139"/>
      <c r="G7" s="140"/>
      <c r="H7" s="22"/>
      <c r="I7" s="62" t="s">
        <v>74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59"/>
      <c r="B8" s="208"/>
      <c r="C8" s="163" t="s">
        <v>68</v>
      </c>
      <c r="D8" s="139"/>
      <c r="E8" s="139"/>
      <c r="F8" s="139"/>
      <c r="G8" s="140"/>
      <c r="H8" s="22"/>
      <c r="I8" s="23"/>
      <c r="J8" s="62" t="s">
        <v>74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59"/>
      <c r="B9" s="208"/>
      <c r="C9" s="209"/>
      <c r="D9" s="163" t="s">
        <v>70</v>
      </c>
      <c r="E9" s="139"/>
      <c r="F9" s="139"/>
      <c r="G9" s="139"/>
      <c r="H9" s="22"/>
      <c r="I9" s="23"/>
      <c r="J9" s="23"/>
      <c r="K9" s="62" t="s">
        <v>74</v>
      </c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 thickBot="1">
      <c r="A10" s="159"/>
      <c r="B10" s="210"/>
      <c r="C10" s="163" t="s">
        <v>56</v>
      </c>
      <c r="D10" s="139"/>
      <c r="E10" s="139"/>
      <c r="F10" s="139"/>
      <c r="G10" s="139"/>
      <c r="H10" s="22"/>
      <c r="I10" s="23"/>
      <c r="J10" s="23"/>
      <c r="K10" s="23"/>
      <c r="L10" s="62" t="s">
        <v>74</v>
      </c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74"/>
      <c r="B11" s="193" t="s">
        <v>75</v>
      </c>
      <c r="C11" s="194"/>
      <c r="D11" s="194"/>
      <c r="E11" s="194"/>
      <c r="F11" s="194"/>
      <c r="G11" s="194"/>
      <c r="H11" s="25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7"/>
    </row>
    <row r="12" spans="1:32" s="17" customFormat="1" ht="13.5" customHeight="1">
      <c r="A12" s="74"/>
      <c r="B12" s="28"/>
      <c r="C12" s="134" t="s">
        <v>71</v>
      </c>
      <c r="D12" s="135"/>
      <c r="E12" s="135"/>
      <c r="F12" s="135"/>
      <c r="G12" s="135"/>
      <c r="H12" s="22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74"/>
      <c r="B13" s="28"/>
      <c r="C13" s="78"/>
      <c r="D13" s="135" t="s">
        <v>76</v>
      </c>
      <c r="E13" s="135"/>
      <c r="F13" s="135"/>
      <c r="G13" s="136"/>
      <c r="H13" s="76" t="s">
        <v>74</v>
      </c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>
      <c r="A14" s="74"/>
      <c r="B14" s="28"/>
      <c r="C14" s="134" t="s">
        <v>67</v>
      </c>
      <c r="D14" s="135"/>
      <c r="E14" s="135"/>
      <c r="F14" s="135"/>
      <c r="G14" s="135"/>
      <c r="H14" s="22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74"/>
      <c r="B15" s="28"/>
      <c r="C15" s="78"/>
      <c r="D15" s="135" t="s">
        <v>77</v>
      </c>
      <c r="E15" s="135"/>
      <c r="F15" s="135"/>
      <c r="G15" s="136"/>
      <c r="H15" s="22"/>
      <c r="I15" s="62" t="s">
        <v>74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74"/>
      <c r="B16" s="28"/>
      <c r="C16" s="78"/>
      <c r="D16" s="135" t="s">
        <v>80</v>
      </c>
      <c r="E16" s="135"/>
      <c r="F16" s="135"/>
      <c r="G16" s="136"/>
      <c r="H16" s="22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74"/>
      <c r="B17" s="28"/>
      <c r="C17" s="78"/>
      <c r="D17" s="135" t="s">
        <v>81</v>
      </c>
      <c r="E17" s="135"/>
      <c r="F17" s="135"/>
      <c r="G17" s="136"/>
      <c r="H17" s="22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74"/>
      <c r="B18" s="28"/>
      <c r="C18" s="78"/>
      <c r="D18" s="135" t="s">
        <v>82</v>
      </c>
      <c r="E18" s="135"/>
      <c r="F18" s="135"/>
      <c r="G18" s="136"/>
      <c r="H18" s="22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74"/>
      <c r="B19" s="28"/>
      <c r="C19" s="78"/>
      <c r="D19" s="135" t="s">
        <v>55</v>
      </c>
      <c r="E19" s="135"/>
      <c r="F19" s="135"/>
      <c r="G19" s="136"/>
      <c r="H19" s="22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74"/>
      <c r="B20" s="28"/>
      <c r="C20" s="134" t="s">
        <v>68</v>
      </c>
      <c r="D20" s="135"/>
      <c r="E20" s="135"/>
      <c r="F20" s="135"/>
      <c r="G20" s="135"/>
      <c r="H20" s="29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 thickBot="1">
      <c r="A21" s="74"/>
      <c r="B21" s="28"/>
      <c r="C21" s="211"/>
      <c r="D21" s="134" t="s">
        <v>79</v>
      </c>
      <c r="E21" s="135"/>
      <c r="F21" s="135"/>
      <c r="G21" s="136"/>
      <c r="H21" s="29"/>
      <c r="I21" s="30"/>
      <c r="J21" s="68" t="s">
        <v>74</v>
      </c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171"/>
      <c r="B22" s="28"/>
      <c r="C22" s="164" t="s">
        <v>53</v>
      </c>
      <c r="D22" s="165"/>
      <c r="E22" s="165"/>
      <c r="F22" s="165"/>
      <c r="G22" s="166"/>
      <c r="H22" s="22"/>
      <c r="I22" s="23"/>
      <c r="J22" s="23"/>
      <c r="K22" s="62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 thickBot="1">
      <c r="A23" s="171"/>
      <c r="B23" s="28"/>
      <c r="C23" s="71"/>
      <c r="D23" s="167" t="s">
        <v>54</v>
      </c>
      <c r="E23" s="168"/>
      <c r="F23" s="168"/>
      <c r="G23" s="169"/>
      <c r="H23" s="22" t="s">
        <v>74</v>
      </c>
      <c r="I23" s="23" t="s">
        <v>74</v>
      </c>
      <c r="J23" s="23" t="s">
        <v>74</v>
      </c>
      <c r="K23" s="23" t="s">
        <v>74</v>
      </c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>
      <c r="A24" s="73"/>
      <c r="B24" s="28"/>
      <c r="C24" s="134" t="s">
        <v>56</v>
      </c>
      <c r="D24" s="135"/>
      <c r="E24" s="135"/>
      <c r="F24" s="135"/>
      <c r="G24" s="136"/>
      <c r="H24" s="29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1"/>
    </row>
    <row r="25" spans="1:32" s="17" customFormat="1" ht="13.5" customHeight="1" thickBot="1">
      <c r="A25" s="73"/>
      <c r="B25" s="28"/>
      <c r="C25" s="78"/>
      <c r="D25" s="135" t="s">
        <v>78</v>
      </c>
      <c r="E25" s="135"/>
      <c r="F25" s="135"/>
      <c r="G25" s="136"/>
      <c r="H25" s="29"/>
      <c r="I25" s="30"/>
      <c r="J25" s="30"/>
      <c r="K25" s="77"/>
      <c r="L25" s="30" t="s">
        <v>74</v>
      </c>
      <c r="M25" s="30"/>
      <c r="N25" s="68"/>
      <c r="O25" s="30"/>
      <c r="P25" s="30"/>
      <c r="Q25" s="30"/>
      <c r="R25" s="30"/>
      <c r="S25" s="30"/>
      <c r="T25" s="30"/>
      <c r="U25" s="30"/>
      <c r="V25" s="30"/>
      <c r="W25" s="68"/>
      <c r="X25" s="30"/>
      <c r="Y25" s="30"/>
      <c r="Z25" s="30"/>
      <c r="AA25" s="30"/>
      <c r="AB25" s="30"/>
      <c r="AC25" s="30"/>
      <c r="AD25" s="30"/>
      <c r="AE25" s="30"/>
      <c r="AF25" s="31"/>
    </row>
    <row r="26" spans="1:32" s="17" customFormat="1" ht="24" customHeight="1">
      <c r="A26" s="150" t="s">
        <v>46</v>
      </c>
      <c r="B26" s="152"/>
      <c r="C26" s="153"/>
      <c r="D26" s="153"/>
      <c r="E26" s="153"/>
      <c r="F26" s="154"/>
      <c r="G26" s="35" t="s">
        <v>36</v>
      </c>
      <c r="H26" s="36" t="s">
        <v>58</v>
      </c>
      <c r="I26" s="37" t="s">
        <v>58</v>
      </c>
      <c r="J26" s="37" t="s">
        <v>58</v>
      </c>
      <c r="K26" s="37" t="s">
        <v>58</v>
      </c>
      <c r="L26" s="37" t="s">
        <v>59</v>
      </c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8"/>
    </row>
    <row r="27" spans="1:32" s="17" customFormat="1" ht="27" customHeight="1">
      <c r="A27" s="151"/>
      <c r="B27" s="155"/>
      <c r="C27" s="156"/>
      <c r="D27" s="156"/>
      <c r="E27" s="156"/>
      <c r="F27" s="157"/>
      <c r="G27" s="39" t="s">
        <v>37</v>
      </c>
      <c r="H27" s="40" t="s">
        <v>61</v>
      </c>
      <c r="I27" s="72" t="s">
        <v>60</v>
      </c>
      <c r="J27" s="72" t="s">
        <v>60</v>
      </c>
      <c r="K27" s="72" t="s">
        <v>60</v>
      </c>
      <c r="L27" s="72" t="s">
        <v>60</v>
      </c>
      <c r="M27" s="72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7" customHeight="1">
      <c r="A28" s="151"/>
      <c r="B28" s="155"/>
      <c r="C28" s="156"/>
      <c r="D28" s="156"/>
      <c r="E28" s="156"/>
      <c r="F28" s="157"/>
      <c r="G28" s="39" t="s">
        <v>38</v>
      </c>
      <c r="H28" s="43">
        <v>43687</v>
      </c>
      <c r="I28" s="44">
        <v>43687</v>
      </c>
      <c r="J28" s="44">
        <v>43687</v>
      </c>
      <c r="K28" s="44">
        <v>43687</v>
      </c>
      <c r="L28" s="44">
        <v>43687</v>
      </c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5"/>
    </row>
    <row r="29" spans="1:32" s="17" customFormat="1" ht="24.75" customHeight="1">
      <c r="A29" s="151"/>
      <c r="B29" s="155" t="s">
        <v>49</v>
      </c>
      <c r="C29" s="156"/>
      <c r="D29" s="156"/>
      <c r="E29" s="156"/>
      <c r="F29" s="157"/>
      <c r="G29" s="46" t="s">
        <v>1</v>
      </c>
      <c r="H29" s="40" t="s">
        <v>63</v>
      </c>
      <c r="I29" s="72" t="s">
        <v>62</v>
      </c>
      <c r="J29" s="72" t="s">
        <v>62</v>
      </c>
      <c r="K29" s="72" t="s">
        <v>62</v>
      </c>
      <c r="L29" s="72" t="s">
        <v>62</v>
      </c>
      <c r="M29" s="72"/>
      <c r="N29" s="69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2"/>
    </row>
    <row r="30" spans="1:32" s="17" customFormat="1" ht="24.75" customHeight="1">
      <c r="A30" s="141" t="s">
        <v>47</v>
      </c>
      <c r="B30" s="143" t="s">
        <v>40</v>
      </c>
      <c r="C30" s="143"/>
      <c r="D30" s="143"/>
      <c r="E30" s="143"/>
      <c r="F30" s="144" t="str">
        <f>GetBugSheetName()</f>
        <v>Template_</v>
      </c>
      <c r="G30" s="145"/>
      <c r="H30" s="60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4"/>
    </row>
    <row r="31" spans="1:32" s="17" customFormat="1" ht="36" customHeight="1" thickBot="1">
      <c r="A31" s="142"/>
      <c r="B31" s="146" t="s">
        <v>30</v>
      </c>
      <c r="C31" s="147"/>
      <c r="D31" s="147"/>
      <c r="E31" s="148"/>
      <c r="F31" s="146"/>
      <c r="G31" s="149"/>
      <c r="H31" s="61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 t="str">
        <f t="shared" ref="S31:AF31" si="0">IF(S30="","",(SUM(LEN(S30)-LEN(SUBSTITUTE(S30,",","")))/LEN(",")) + 1 )</f>
        <v/>
      </c>
      <c r="T31" s="55" t="str">
        <f t="shared" si="0"/>
        <v/>
      </c>
      <c r="U31" s="55" t="str">
        <f t="shared" si="0"/>
        <v/>
      </c>
      <c r="V31" s="55" t="str">
        <f t="shared" si="0"/>
        <v/>
      </c>
      <c r="W31" s="55" t="str">
        <f t="shared" si="0"/>
        <v/>
      </c>
      <c r="X31" s="55" t="str">
        <f t="shared" si="0"/>
        <v/>
      </c>
      <c r="Y31" s="55" t="str">
        <f t="shared" si="0"/>
        <v/>
      </c>
      <c r="Z31" s="55" t="str">
        <f t="shared" si="0"/>
        <v/>
      </c>
      <c r="AA31" s="55" t="str">
        <f t="shared" si="0"/>
        <v/>
      </c>
      <c r="AB31" s="55" t="str">
        <f t="shared" si="0"/>
        <v/>
      </c>
      <c r="AC31" s="55" t="str">
        <f t="shared" si="0"/>
        <v/>
      </c>
      <c r="AD31" s="55" t="str">
        <f t="shared" si="0"/>
        <v/>
      </c>
      <c r="AE31" s="55" t="str">
        <f t="shared" si="0"/>
        <v/>
      </c>
      <c r="AF31" s="56" t="str">
        <f t="shared" si="0"/>
        <v/>
      </c>
    </row>
    <row r="32" spans="1:32" s="17" customFormat="1">
      <c r="H32" s="47"/>
      <c r="I32" s="47"/>
      <c r="J32" s="47"/>
      <c r="K32" s="47"/>
      <c r="L32" s="47"/>
      <c r="M32" s="47"/>
      <c r="N32" s="48"/>
      <c r="O32" s="49"/>
      <c r="P32" s="47"/>
      <c r="Q32" s="47"/>
      <c r="R32" s="47"/>
      <c r="S32" s="47"/>
      <c r="T32" s="47"/>
      <c r="U32" s="47"/>
      <c r="V32" s="47"/>
    </row>
  </sheetData>
  <sheetProtection insertRows="0"/>
  <protectedRanges>
    <protectedRange sqref="B4:G4" name="Range2_1"/>
    <protectedRange sqref="B1:O2 P2 T1 AC1:AF2" name="Range1_1"/>
    <protectedRange sqref="H26:AF30" name="Range3_1_1"/>
    <protectedRange sqref="H4:AF4" name="Range2_1_1"/>
    <protectedRange sqref="B22:G23" name="Range2_1_2"/>
    <protectedRange sqref="H22:AF23" name="Range2_1_1_1"/>
    <protectedRange sqref="B24:G25" name="Range2_1_11"/>
    <protectedRange sqref="K24 H24:J25 L24:AF25" name="Range2_1_1_5"/>
    <protectedRange sqref="K25" name="Range2_1_2_99_6_3"/>
    <protectedRange sqref="B5:G7 B9:G10" name="Range2_1_5"/>
    <protectedRange sqref="H5:AF7 H9:AF10" name="Range2_1_1_6"/>
    <protectedRange sqref="B11:G21" name="Range2_1_12"/>
    <protectedRange sqref="H11:AF21" name="Range2_1_1_7"/>
    <protectedRange sqref="B8:G8" name="Range2_1_13"/>
    <protectedRange sqref="H8:AF8" name="Range2_1_1_8"/>
  </protectedRanges>
  <mergeCells count="47">
    <mergeCell ref="D9:G9"/>
    <mergeCell ref="C10:G10"/>
    <mergeCell ref="D13:G13"/>
    <mergeCell ref="C14:G14"/>
    <mergeCell ref="D16:G16"/>
    <mergeCell ref="AC1:AF1"/>
    <mergeCell ref="B2:E2"/>
    <mergeCell ref="F2:H2"/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4:A10"/>
    <mergeCell ref="B4:G4"/>
    <mergeCell ref="C22:G22"/>
    <mergeCell ref="A22:A23"/>
    <mergeCell ref="B11:G11"/>
    <mergeCell ref="C12:G12"/>
    <mergeCell ref="B5:G5"/>
    <mergeCell ref="B6:B10"/>
    <mergeCell ref="C6:G6"/>
    <mergeCell ref="C7:G7"/>
    <mergeCell ref="C8:G8"/>
    <mergeCell ref="A26:A29"/>
    <mergeCell ref="B26:F26"/>
    <mergeCell ref="B27:F27"/>
    <mergeCell ref="B28:F28"/>
    <mergeCell ref="B29:F29"/>
    <mergeCell ref="A30:A31"/>
    <mergeCell ref="B30:E30"/>
    <mergeCell ref="F30:G30"/>
    <mergeCell ref="B31:E31"/>
    <mergeCell ref="F31:G31"/>
    <mergeCell ref="D15:G15"/>
    <mergeCell ref="D17:G17"/>
    <mergeCell ref="D19:G19"/>
    <mergeCell ref="D21:G21"/>
    <mergeCell ref="C20:G20"/>
    <mergeCell ref="D18:G18"/>
    <mergeCell ref="C24:G24"/>
    <mergeCell ref="D25:G25"/>
    <mergeCell ref="D23:G23"/>
  </mergeCells>
  <phoneticPr fontId="2"/>
  <conditionalFormatting sqref="H22:AF25">
    <cfRule type="expression" dxfId="43" priority="53" stopIfTrue="1">
      <formula>#REF!="NA"</formula>
    </cfRule>
    <cfRule type="expression" dxfId="42" priority="54" stopIfTrue="1">
      <formula>#REF!="NG"</formula>
    </cfRule>
  </conditionalFormatting>
  <conditionalFormatting sqref="L24:AF25 H24:K24 H25:J25">
    <cfRule type="expression" dxfId="41" priority="10" stopIfTrue="1">
      <formula>H$51="NA"</formula>
    </cfRule>
    <cfRule type="expression" dxfId="40" priority="11" stopIfTrue="1">
      <formula>H$51="NG"</formula>
    </cfRule>
  </conditionalFormatting>
  <conditionalFormatting sqref="K25">
    <cfRule type="expression" dxfId="39" priority="7" stopIfTrue="1">
      <formula>#REF!="NG"</formula>
    </cfRule>
    <cfRule type="expression" dxfId="38" priority="8" stopIfTrue="1">
      <formula>K$127="NA"</formula>
    </cfRule>
    <cfRule type="expression" dxfId="37" priority="9" stopIfTrue="1">
      <formula>K$127="NG"</formula>
    </cfRule>
  </conditionalFormatting>
  <conditionalFormatting sqref="H5:AF21">
    <cfRule type="expression" dxfId="36" priority="104" stopIfTrue="1">
      <formula>H$22="NA"</formula>
    </cfRule>
    <cfRule type="expression" dxfId="35" priority="105" stopIfTrue="1">
      <formula>H$22="NG"</formula>
    </cfRule>
  </conditionalFormatting>
  <conditionalFormatting sqref="H22:AF25">
    <cfRule type="expression" dxfId="34" priority="112" stopIfTrue="1">
      <formula>H$28="NA"</formula>
    </cfRule>
    <cfRule type="expression" dxfId="33" priority="113" stopIfTrue="1">
      <formula>H$28="NG"</formula>
    </cfRule>
  </conditionalFormatting>
  <conditionalFormatting sqref="H3:AF31">
    <cfRule type="expression" dxfId="32" priority="118" stopIfTrue="1">
      <formula>H$29="NA"</formula>
    </cfRule>
    <cfRule type="expression" dxfId="31" priority="119" stopIfTrue="1">
      <formula>H$29="NG"</formula>
    </cfRule>
  </conditionalFormatting>
  <conditionalFormatting sqref="H11:AF21">
    <cfRule type="expression" dxfId="30" priority="3" stopIfTrue="1">
      <formula>H$32="NA"</formula>
    </cfRule>
    <cfRule type="expression" dxfId="29" priority="4" stopIfTrue="1">
      <formula>H$32="NG"</formula>
    </cfRule>
  </conditionalFormatting>
  <conditionalFormatting sqref="H8:AF8">
    <cfRule type="expression" dxfId="28" priority="1" stopIfTrue="1">
      <formula>H$31="NA"</formula>
    </cfRule>
    <cfRule type="expression" dxfId="27" priority="2" stopIfTrue="1">
      <formula>H$31="NG"</formula>
    </cfRule>
  </conditionalFormatting>
  <dataValidations count="10">
    <dataValidation allowBlank="1" showInputMessage="1" showErrorMessage="1" promptTitle="Condition Type" prompt="N : Normal _x000a_A : Abnormal _x000a_B : Boundary" sqref="G26"/>
    <dataValidation allowBlank="1" showInputMessage="1" showErrorMessage="1" promptTitle="Enter" prompt="Name of the person who performed the test" sqref="G27"/>
    <dataValidation allowBlank="1" showInputMessage="1" showErrorMessage="1" promptTitle="Testing Date" prompt="Date on which test was performed in yyyy/mm/dd format" sqref="G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9"/>
    <dataValidation allowBlank="1" showInputMessage="1" showErrorMessage="1" promptTitle="Bug ID" prompt="Unique ID throughout the project._x000a_For every Bug found during Test as well as Re-Test, a new Bug ID needs to be entered here (as a comma seperated value)" sqref="B30:E30"/>
    <dataValidation allowBlank="1" showInputMessage="1" showErrorMessage="1" promptTitle="PCL sheet name" prompt=" " sqref="F30:G30"/>
    <dataValidation type="list" allowBlank="1" showInputMessage="1" showErrorMessage="1" sqref="H29:AF29">
      <formula1>"OK, NG, NA, PT"</formula1>
    </dataValidation>
    <dataValidation type="list" allowBlank="1" showInputMessage="1" showErrorMessage="1" sqref="H26:AF26">
      <formula1>"N, A, B"</formula1>
    </dataValidation>
    <dataValidation allowBlank="1" showInputMessage="1" showErrorMessage="1" promptTitle="Check points" prompt="that need / need not be executed" sqref="A24:A25 IW24:IW25 SS24:SS25 ACO24:ACO25 AMK24:AMK25 AWG24:AWG25 BGC24:BGC25 BPY24:BPY25 BZU24:BZU25 CJQ24:CJQ25 CTM24:CTM25 DDI24:DDI25 DNE24:DNE25 DXA24:DXA25 EGW24:EGW25 EQS24:EQS25 FAO24:FAO25 FKK24:FKK25 FUG24:FUG25 GEC24:GEC25 GNY24:GNY25 GXU24:GXU25 HHQ24:HHQ25 HRM24:HRM25 IBI24:IBI25 ILE24:ILE25 IVA24:IVA25 JEW24:JEW25 JOS24:JOS25 JYO24:JYO25 KIK24:KIK25 KSG24:KSG25 LCC24:LCC25 LLY24:LLY25 LVU24:LVU25 MFQ24:MFQ25 MPM24:MPM25 MZI24:MZI25 NJE24:NJE25 NTA24:NTA25 OCW24:OCW25 OMS24:OMS25 OWO24:OWO25 PGK24:PGK25 PQG24:PQG25 QAC24:QAC25 QJY24:QJY25 QTU24:QTU25 RDQ24:RDQ25 RNM24:RNM25 RXI24:RXI25 SHE24:SHE25 SRA24:SRA25 TAW24:TAW25 TKS24:TKS25 TUO24:TUO25 UEK24:UEK25 UOG24:UOG25 UYC24:UYC25 VHY24:VHY25 VRU24:VRU25 WBQ24:WBQ25 WLM24:WLM25 WVI24:WVI25 WVI11:WVI21 WLM11:WLM21 WBQ11:WBQ21 VRU11:VRU21 VHY11:VHY21 UYC11:UYC21 UOG11:UOG21 UEK11:UEK21 TUO11:TUO21 TKS11:TKS21 TAW11:TAW21 SRA11:SRA21 SHE11:SHE21 RXI11:RXI21 RNM11:RNM21 RDQ11:RDQ21 QTU11:QTU21 QJY11:QJY21 QAC11:QAC21 PQG11:PQG21 PGK11:PGK21 OWO11:OWO21 OMS11:OMS21 OCW11:OCW21 NTA11:NTA21 NJE11:NJE21 MZI11:MZI21 MPM11:MPM21 MFQ11:MFQ21 LVU11:LVU21 LLY11:LLY21 LCC11:LCC21 KSG11:KSG21 KIK11:KIK21 JYO11:JYO21 JOS11:JOS21 JEW11:JEW21 IVA11:IVA21 ILE11:ILE21 IBI11:IBI21 HRM11:HRM21 HHQ11:HHQ21 GXU11:GXU21 GNY11:GNY21 GEC11:GEC21 FUG11:FUG21 FKK11:FKK21 FAO11:FAO21 EQS11:EQS21 EGW11:EGW21 DXA11:DXA21 DNE11:DNE21 DDI11:DDI21 CTM11:CTM21 CJQ11:CJQ21 BZU11:BZU21 BPY11:BPY21 BGC11:BGC21 AWG11:AWG21 AMK11:AMK21 ACO11:ACO21 SS11:SS21 IW11:IW21 A11:A22"/>
    <dataValidation allowBlank="1" showInputMessage="1" showErrorMessage="1" promptTitle="Input conditions" prompt="that need to be checked." sqref="A23 WVI5:WVI10 A4:A10 IW5:IW10 SS5:SS10 ACO5:ACO10 AMK5:AMK10 AWG5:AWG10 BGC5:BGC10 BPY5:BPY10 BZU5:BZU10 CJQ5:CJQ10 CTM5:CTM10 DDI5:DDI10 DNE5:DNE10 DXA5:DXA10 EGW5:EGW10 EQS5:EQS10 FAO5:FAO10 FKK5:FKK10 FUG5:FUG10 GEC5:GEC10 GNY5:GNY10 GXU5:GXU10 HHQ5:HHQ10 HRM5:HRM10 IBI5:IBI10 ILE5:ILE10 IVA5:IVA10 JEW5:JEW10 JOS5:JOS10 JYO5:JYO10 KIK5:KIK10 KSG5:KSG10 LCC5:LCC10 LLY5:LLY10 LVU5:LVU10 MFQ5:MFQ10 MPM5:MPM10 MZI5:MZI10 NJE5:NJE10 NTA5:NTA10 OCW5:OCW10 OMS5:OMS10 OWO5:OWO10 PGK5:PGK10 PQG5:PQG10 QAC5:QAC10 QJY5:QJY10 QTU5:QTU10 RDQ5:RDQ10 RNM5:RNM10 RXI5:RXI10 SHE5:SHE10 SRA5:SRA10 TAW5:TAW10 TKS5:TKS10 TUO5:TUO10 UEK5:UEK10 UOG5:UOG10 UYC5:UYC10 VHY5:VHY10 VRU5:VRU10 WBQ5:WBQ10 WLM5:WLM10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F35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B4" sqref="B4:G4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80" t="s">
        <v>51</v>
      </c>
      <c r="C1" s="181"/>
      <c r="D1" s="181"/>
      <c r="E1" s="182"/>
      <c r="F1" s="180" t="s">
        <v>107</v>
      </c>
      <c r="G1" s="181"/>
      <c r="H1" s="181"/>
      <c r="I1" s="181"/>
      <c r="J1" s="181"/>
      <c r="K1" s="181"/>
      <c r="L1" s="181"/>
      <c r="M1" s="181"/>
      <c r="N1" s="181"/>
      <c r="O1" s="182"/>
      <c r="P1" s="183" t="s">
        <v>0</v>
      </c>
      <c r="Q1" s="184"/>
      <c r="R1" s="184"/>
      <c r="S1" s="185"/>
      <c r="T1" s="180" t="s">
        <v>64</v>
      </c>
      <c r="U1" s="181"/>
      <c r="V1" s="181"/>
      <c r="W1" s="181"/>
      <c r="X1" s="181"/>
      <c r="Y1" s="181"/>
      <c r="Z1" s="182"/>
      <c r="AA1" s="186" t="s">
        <v>10</v>
      </c>
      <c r="AB1" s="186"/>
      <c r="AC1" s="172">
        <v>43687</v>
      </c>
      <c r="AD1" s="172"/>
      <c r="AE1" s="172"/>
      <c r="AF1" s="173"/>
    </row>
    <row r="2" spans="1:32" ht="20.100000000000001" customHeight="1" thickBot="1">
      <c r="A2" s="64" t="s">
        <v>4</v>
      </c>
      <c r="B2" s="174" t="s">
        <v>85</v>
      </c>
      <c r="C2" s="175"/>
      <c r="D2" s="175"/>
      <c r="E2" s="176"/>
      <c r="F2" s="174" t="s">
        <v>87</v>
      </c>
      <c r="G2" s="175"/>
      <c r="H2" s="176"/>
      <c r="I2" s="146" t="s">
        <v>84</v>
      </c>
      <c r="J2" s="147"/>
      <c r="K2" s="147"/>
      <c r="L2" s="147"/>
      <c r="M2" s="147"/>
      <c r="N2" s="147"/>
      <c r="O2" s="148"/>
      <c r="P2" s="174"/>
      <c r="Q2" s="175"/>
      <c r="R2" s="175"/>
      <c r="S2" s="175"/>
      <c r="T2" s="175"/>
      <c r="U2" s="175"/>
      <c r="V2" s="175"/>
      <c r="W2" s="175"/>
      <c r="X2" s="175"/>
      <c r="Y2" s="175"/>
      <c r="Z2" s="176"/>
      <c r="AA2" s="177" t="s">
        <v>12</v>
      </c>
      <c r="AB2" s="178"/>
      <c r="AC2" s="174" t="s">
        <v>88</v>
      </c>
      <c r="AD2" s="175"/>
      <c r="AE2" s="175"/>
      <c r="AF2" s="179"/>
    </row>
    <row r="3" spans="1:32" ht="37.5" customHeight="1" thickBot="1">
      <c r="A3" s="66" t="s">
        <v>42</v>
      </c>
      <c r="B3" s="10"/>
      <c r="C3" s="10"/>
      <c r="D3" s="10"/>
      <c r="E3" s="10"/>
      <c r="F3" s="10"/>
      <c r="G3" s="65" t="s">
        <v>43</v>
      </c>
      <c r="H3" s="11">
        <f>IF(COUNTA(H4:H29)&gt;0,1,"")</f>
        <v>1</v>
      </c>
      <c r="I3" s="12">
        <f>IF(COUNTA(I4:I29)&gt;0,IF(H3&gt;0,H3+1,""),"")</f>
        <v>2</v>
      </c>
      <c r="J3" s="12" t="str">
        <f>IF(COUNTA(J4:J29)&gt;0,IF(I3&gt;0,I3+1,""),"")</f>
        <v/>
      </c>
      <c r="K3" s="12" t="str">
        <f>IF(COUNTA(K4:K29)&gt;0,IF(J3&gt;0,J3+1,""),"")</f>
        <v/>
      </c>
      <c r="L3" s="12" t="str">
        <f>IF(COUNTA(L4:L29)&gt;0,IF(K3&gt;0,K3+1,""),"")</f>
        <v/>
      </c>
      <c r="M3" s="12" t="str">
        <f>IF(COUNTA(M4:M29)&gt;0,IF(L3&gt;0,L3+1,""),"")</f>
        <v/>
      </c>
      <c r="N3" s="12" t="str">
        <f>IF(COUNTA(N4:N29)&gt;0,IF(M3&gt;0,M3+1,""),"")</f>
        <v/>
      </c>
      <c r="O3" s="12" t="str">
        <f>IF(COUNTA(O4:O29)&gt;0,IF(N3&gt;0,N3+1,""),"")</f>
        <v/>
      </c>
      <c r="P3" s="12" t="str">
        <f>IF(COUNTA(P4:P29)&gt;0,IF(O3&gt;0,O3+1,""),"")</f>
        <v/>
      </c>
      <c r="Q3" s="12" t="str">
        <f>IF(COUNTA(Q4:Q29)&gt;0,IF(P3&gt;0,P3+1,""),"")</f>
        <v/>
      </c>
      <c r="R3" s="12" t="str">
        <f>IF(COUNTA(R4:R29)&gt;0,IF(Q3&gt;0,Q3+1,""),"")</f>
        <v/>
      </c>
      <c r="S3" s="12" t="str">
        <f>IF(COUNTA(S4:S29)&gt;0,IF(R3&gt;0,R3+1,""),"")</f>
        <v/>
      </c>
      <c r="T3" s="12" t="str">
        <f>IF(COUNTA(T4:T29)&gt;0,IF(S3&gt;0,S3+1,""),"")</f>
        <v/>
      </c>
      <c r="U3" s="12" t="str">
        <f>IF(COUNTA(U4:U29)&gt;0,IF(T3&gt;0,T3+1,""),"")</f>
        <v/>
      </c>
      <c r="V3" s="12" t="str">
        <f>IF(COUNTA(V4:V29)&gt;0,IF(U3&gt;0,U3+1,""),"")</f>
        <v/>
      </c>
      <c r="W3" s="12" t="str">
        <f>IF(COUNTA(W4:W29)&gt;0,IF(V3&gt;0,V3+1,""),"")</f>
        <v/>
      </c>
      <c r="X3" s="12" t="str">
        <f>IF(COUNTA(X4:X29)&gt;0,IF(W3&gt;0,W3+1,""),"")</f>
        <v/>
      </c>
      <c r="Y3" s="12" t="str">
        <f>IF(COUNTA(Y4:Y29)&gt;0,IF(X3&gt;0,X3+1,""),"")</f>
        <v/>
      </c>
      <c r="Z3" s="12" t="str">
        <f>IF(COUNTA(Z4:Z29)&gt;0,IF(Y3&gt;0,Y3+1,""),"")</f>
        <v/>
      </c>
      <c r="AA3" s="12" t="str">
        <f>IF(COUNTA(AA4:AA29)&gt;0,IF(Z3&gt;0,Z3+1,""),"")</f>
        <v/>
      </c>
      <c r="AB3" s="12" t="str">
        <f>IF(COUNTA(AB4:AB29)&gt;0,IF(AA3&gt;0,AA3+1,""),"")</f>
        <v/>
      </c>
      <c r="AC3" s="12" t="str">
        <f>IF(COUNTA(AC4:AC29)&gt;0,IF(AB3&gt;0,AB3+1,""),"")</f>
        <v/>
      </c>
      <c r="AD3" s="12" t="str">
        <f>IF(COUNTA(AD4:AD29)&gt;0,IF(AC3&gt;0,AC3+1,""),"")</f>
        <v/>
      </c>
      <c r="AE3" s="12" t="str">
        <f>IF(COUNTA(AE4:AE29)&gt;0,IF(AD3&gt;0,AD3+1,""),"")</f>
        <v/>
      </c>
      <c r="AF3" s="13" t="str">
        <f>IF(COUNTA(AF4:AF29)&gt;0,IF(AE3&gt;0,AE3+1,""),"")</f>
        <v/>
      </c>
    </row>
    <row r="4" spans="1:32" s="17" customFormat="1" ht="13.5" customHeight="1">
      <c r="A4" s="158" t="s">
        <v>44</v>
      </c>
      <c r="B4" s="194" t="s">
        <v>106</v>
      </c>
      <c r="C4" s="194"/>
      <c r="D4" s="194"/>
      <c r="E4" s="194"/>
      <c r="F4" s="194"/>
      <c r="G4" s="19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9"/>
      <c r="B5" s="163" t="s">
        <v>84</v>
      </c>
      <c r="C5" s="195"/>
      <c r="D5" s="195"/>
      <c r="E5" s="195"/>
      <c r="F5" s="195"/>
      <c r="G5" s="195"/>
      <c r="H5" s="18" t="s">
        <v>103</v>
      </c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59"/>
      <c r="B6" s="208"/>
      <c r="C6" s="163" t="s">
        <v>67</v>
      </c>
      <c r="D6" s="139"/>
      <c r="E6" s="139"/>
      <c r="F6" s="139"/>
      <c r="G6" s="140"/>
      <c r="H6" s="22"/>
      <c r="I6" s="62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59"/>
      <c r="B7" s="208"/>
      <c r="C7" s="212"/>
      <c r="D7" s="139" t="s">
        <v>96</v>
      </c>
      <c r="E7" s="139"/>
      <c r="F7" s="139"/>
      <c r="G7" s="140"/>
      <c r="H7" s="76" t="s">
        <v>103</v>
      </c>
      <c r="I7" s="62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59"/>
      <c r="B8" s="208"/>
      <c r="C8" s="163" t="s">
        <v>69</v>
      </c>
      <c r="D8" s="139"/>
      <c r="E8" s="139"/>
      <c r="F8" s="139"/>
      <c r="G8" s="140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59"/>
      <c r="B9" s="208"/>
      <c r="C9" s="209"/>
      <c r="D9" s="163" t="s">
        <v>70</v>
      </c>
      <c r="E9" s="139"/>
      <c r="F9" s="139"/>
      <c r="G9" s="139"/>
      <c r="H9" s="76" t="s">
        <v>103</v>
      </c>
      <c r="I9" s="62"/>
      <c r="J9" s="23"/>
      <c r="K9" s="62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 thickBot="1">
      <c r="A10" s="159"/>
      <c r="B10" s="210"/>
      <c r="C10" s="163" t="s">
        <v>56</v>
      </c>
      <c r="D10" s="139"/>
      <c r="E10" s="139"/>
      <c r="F10" s="139"/>
      <c r="G10" s="139"/>
      <c r="H10" s="22"/>
      <c r="I10" s="23" t="s">
        <v>103</v>
      </c>
      <c r="J10" s="62"/>
      <c r="K10" s="23"/>
      <c r="L10" s="62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 thickBot="1">
      <c r="A11" s="170" t="s">
        <v>45</v>
      </c>
      <c r="B11" s="193" t="s">
        <v>25</v>
      </c>
      <c r="C11" s="194"/>
      <c r="D11" s="194"/>
      <c r="E11" s="194"/>
      <c r="F11" s="194"/>
      <c r="G11" s="194"/>
      <c r="H11" s="25"/>
      <c r="I11" s="26"/>
      <c r="J11" s="26"/>
      <c r="K11" s="67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7"/>
    </row>
    <row r="12" spans="1:32" s="17" customFormat="1" ht="13.5" customHeight="1">
      <c r="A12" s="171"/>
      <c r="B12" s="223"/>
      <c r="C12" s="163" t="s">
        <v>97</v>
      </c>
      <c r="D12" s="139"/>
      <c r="E12" s="139"/>
      <c r="F12" s="139"/>
      <c r="G12" s="225"/>
      <c r="H12" s="224" t="s">
        <v>66</v>
      </c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7"/>
    </row>
    <row r="13" spans="1:32" s="17" customFormat="1" ht="13.5" customHeight="1">
      <c r="A13" s="171"/>
      <c r="B13" s="187"/>
      <c r="C13" s="134" t="s">
        <v>89</v>
      </c>
      <c r="D13" s="135"/>
      <c r="E13" s="135"/>
      <c r="F13" s="135"/>
      <c r="G13" s="135"/>
      <c r="H13" s="22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>
      <c r="A14" s="171"/>
      <c r="B14" s="187"/>
      <c r="C14" s="137"/>
      <c r="D14" s="135" t="s">
        <v>90</v>
      </c>
      <c r="E14" s="135"/>
      <c r="F14" s="135"/>
      <c r="G14" s="136"/>
      <c r="H14" s="76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71"/>
      <c r="B15" s="187"/>
      <c r="C15" s="138"/>
      <c r="D15" s="218"/>
      <c r="E15" s="134" t="s">
        <v>98</v>
      </c>
      <c r="F15" s="135"/>
      <c r="G15" s="136"/>
      <c r="H15" s="219" t="s">
        <v>66</v>
      </c>
      <c r="I15" s="62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171"/>
      <c r="B16" s="187"/>
      <c r="C16" s="138"/>
      <c r="D16" s="218"/>
      <c r="E16" s="134" t="s">
        <v>99</v>
      </c>
      <c r="F16" s="135"/>
      <c r="G16" s="136"/>
      <c r="H16" s="219" t="s">
        <v>66</v>
      </c>
      <c r="I16" s="62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71"/>
      <c r="B17" s="187"/>
      <c r="C17" s="138"/>
      <c r="D17" s="218"/>
      <c r="E17" s="134" t="s">
        <v>100</v>
      </c>
      <c r="F17" s="135"/>
      <c r="G17" s="136"/>
      <c r="H17" s="219" t="s">
        <v>66</v>
      </c>
      <c r="I17" s="62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71"/>
      <c r="B18" s="187"/>
      <c r="C18" s="220"/>
      <c r="D18" s="218"/>
      <c r="E18" s="134" t="s">
        <v>91</v>
      </c>
      <c r="F18" s="135"/>
      <c r="G18" s="136"/>
      <c r="H18" s="219" t="s">
        <v>66</v>
      </c>
      <c r="I18" s="62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71"/>
      <c r="B19" s="187"/>
      <c r="C19" s="134" t="s">
        <v>92</v>
      </c>
      <c r="D19" s="135"/>
      <c r="E19" s="135"/>
      <c r="F19" s="135"/>
      <c r="G19" s="136"/>
      <c r="H19" s="22"/>
      <c r="I19" s="62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71"/>
      <c r="B20" s="187"/>
      <c r="C20" s="137"/>
      <c r="D20" s="135" t="s">
        <v>90</v>
      </c>
      <c r="E20" s="135"/>
      <c r="F20" s="135"/>
      <c r="G20" s="136"/>
      <c r="H20" s="76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171"/>
      <c r="B21" s="187"/>
      <c r="C21" s="138"/>
      <c r="D21" s="218"/>
      <c r="E21" s="134" t="s">
        <v>98</v>
      </c>
      <c r="F21" s="135"/>
      <c r="G21" s="136"/>
      <c r="H21" s="219" t="s">
        <v>66</v>
      </c>
      <c r="I21" s="62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171"/>
      <c r="B22" s="187"/>
      <c r="C22" s="138"/>
      <c r="D22" s="218"/>
      <c r="E22" s="134" t="s">
        <v>99</v>
      </c>
      <c r="F22" s="135"/>
      <c r="G22" s="136"/>
      <c r="H22" s="219" t="s">
        <v>66</v>
      </c>
      <c r="I22" s="62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171"/>
      <c r="B23" s="187"/>
      <c r="C23" s="138"/>
      <c r="D23" s="218"/>
      <c r="E23" s="134" t="s">
        <v>100</v>
      </c>
      <c r="F23" s="135"/>
      <c r="G23" s="136"/>
      <c r="H23" s="219" t="s">
        <v>66</v>
      </c>
      <c r="I23" s="62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>
      <c r="A24" s="171"/>
      <c r="B24" s="187"/>
      <c r="C24" s="220"/>
      <c r="D24" s="218"/>
      <c r="E24" s="134" t="s">
        <v>101</v>
      </c>
      <c r="F24" s="135"/>
      <c r="G24" s="136"/>
      <c r="H24" s="219" t="s">
        <v>66</v>
      </c>
      <c r="I24" s="62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13.5" customHeight="1">
      <c r="A25" s="171"/>
      <c r="B25" s="187"/>
      <c r="C25" s="134" t="s">
        <v>93</v>
      </c>
      <c r="D25" s="135"/>
      <c r="E25" s="135"/>
      <c r="F25" s="135"/>
      <c r="G25" s="135"/>
      <c r="H25" s="29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1"/>
    </row>
    <row r="26" spans="1:32" s="17" customFormat="1" ht="13.5" customHeight="1">
      <c r="A26" s="171"/>
      <c r="B26" s="187"/>
      <c r="C26" s="211"/>
      <c r="D26" s="134" t="s">
        <v>94</v>
      </c>
      <c r="E26" s="135"/>
      <c r="F26" s="135"/>
      <c r="G26" s="136"/>
      <c r="H26" s="221" t="s">
        <v>66</v>
      </c>
      <c r="I26" s="68"/>
      <c r="J26" s="68"/>
      <c r="K26" s="68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1"/>
    </row>
    <row r="27" spans="1:32" s="17" customFormat="1" ht="13.5" customHeight="1">
      <c r="A27" s="171"/>
      <c r="B27" s="187"/>
      <c r="C27" s="134" t="s">
        <v>56</v>
      </c>
      <c r="D27" s="135"/>
      <c r="E27" s="135"/>
      <c r="F27" s="135"/>
      <c r="G27" s="136"/>
      <c r="H27" s="29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1"/>
    </row>
    <row r="28" spans="1:32" s="17" customFormat="1" ht="13.5" customHeight="1" thickBot="1">
      <c r="A28" s="202"/>
      <c r="B28" s="188"/>
      <c r="C28" s="211"/>
      <c r="D28" s="134" t="s">
        <v>102</v>
      </c>
      <c r="E28" s="135"/>
      <c r="F28" s="135"/>
      <c r="G28" s="136"/>
      <c r="H28" s="221"/>
      <c r="I28" s="68" t="s">
        <v>103</v>
      </c>
      <c r="J28" s="68"/>
      <c r="K28" s="30"/>
      <c r="L28" s="68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1"/>
    </row>
    <row r="29" spans="1:32" s="17" customFormat="1" ht="24" customHeight="1">
      <c r="A29" s="150" t="s">
        <v>46</v>
      </c>
      <c r="B29" s="152"/>
      <c r="C29" s="153"/>
      <c r="D29" s="153"/>
      <c r="E29" s="153"/>
      <c r="F29" s="154"/>
      <c r="G29" s="35" t="s">
        <v>36</v>
      </c>
      <c r="H29" s="36" t="s">
        <v>104</v>
      </c>
      <c r="I29" s="37" t="s">
        <v>59</v>
      </c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8"/>
    </row>
    <row r="30" spans="1:32" s="17" customFormat="1" ht="27" customHeight="1">
      <c r="A30" s="151"/>
      <c r="B30" s="155"/>
      <c r="C30" s="156"/>
      <c r="D30" s="156"/>
      <c r="E30" s="156"/>
      <c r="F30" s="157"/>
      <c r="G30" s="39" t="s">
        <v>37</v>
      </c>
      <c r="H30" s="40" t="s">
        <v>105</v>
      </c>
      <c r="I30" s="75" t="s">
        <v>105</v>
      </c>
      <c r="J30" s="75"/>
      <c r="K30" s="75"/>
      <c r="L30" s="75"/>
      <c r="M30" s="75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42"/>
    </row>
    <row r="31" spans="1:32" s="17" customFormat="1" ht="27" customHeight="1">
      <c r="A31" s="151"/>
      <c r="B31" s="155"/>
      <c r="C31" s="156"/>
      <c r="D31" s="156"/>
      <c r="E31" s="156"/>
      <c r="F31" s="157"/>
      <c r="G31" s="39" t="s">
        <v>38</v>
      </c>
      <c r="H31" s="43">
        <v>43687</v>
      </c>
      <c r="I31" s="44">
        <v>43687</v>
      </c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5"/>
    </row>
    <row r="32" spans="1:32" s="17" customFormat="1" ht="24.75" customHeight="1">
      <c r="A32" s="151"/>
      <c r="B32" s="155" t="s">
        <v>49</v>
      </c>
      <c r="C32" s="156"/>
      <c r="D32" s="156"/>
      <c r="E32" s="156"/>
      <c r="F32" s="157"/>
      <c r="G32" s="46" t="s">
        <v>1</v>
      </c>
      <c r="H32" s="40" t="s">
        <v>17</v>
      </c>
      <c r="I32" s="75" t="s">
        <v>62</v>
      </c>
      <c r="J32" s="75"/>
      <c r="K32" s="75"/>
      <c r="L32" s="75"/>
      <c r="M32" s="75"/>
      <c r="N32" s="69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42"/>
    </row>
    <row r="33" spans="1:32" s="17" customFormat="1" ht="24.75" customHeight="1">
      <c r="A33" s="141" t="s">
        <v>47</v>
      </c>
      <c r="B33" s="143" t="s">
        <v>40</v>
      </c>
      <c r="C33" s="143"/>
      <c r="D33" s="143"/>
      <c r="E33" s="143"/>
      <c r="F33" s="144" t="str">
        <f>GetBugSheetName()</f>
        <v>Template_</v>
      </c>
      <c r="G33" s="145"/>
      <c r="H33" s="60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4"/>
    </row>
    <row r="34" spans="1:32" s="17" customFormat="1" ht="36" customHeight="1" thickBot="1">
      <c r="A34" s="142"/>
      <c r="B34" s="146" t="s">
        <v>30</v>
      </c>
      <c r="C34" s="147"/>
      <c r="D34" s="147"/>
      <c r="E34" s="148"/>
      <c r="F34" s="146"/>
      <c r="G34" s="149"/>
      <c r="H34" s="61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 t="str">
        <f t="shared" ref="S34:AF34" si="0">IF(S33="","",(SUM(LEN(S33)-LEN(SUBSTITUTE(S33,",","")))/LEN(",")) + 1 )</f>
        <v/>
      </c>
      <c r="T34" s="55" t="str">
        <f t="shared" si="0"/>
        <v/>
      </c>
      <c r="U34" s="55" t="str">
        <f t="shared" si="0"/>
        <v/>
      </c>
      <c r="V34" s="55" t="str">
        <f t="shared" si="0"/>
        <v/>
      </c>
      <c r="W34" s="55" t="str">
        <f t="shared" si="0"/>
        <v/>
      </c>
      <c r="X34" s="55" t="str">
        <f t="shared" si="0"/>
        <v/>
      </c>
      <c r="Y34" s="55" t="str">
        <f t="shared" si="0"/>
        <v/>
      </c>
      <c r="Z34" s="55" t="str">
        <f t="shared" si="0"/>
        <v/>
      </c>
      <c r="AA34" s="55" t="str">
        <f t="shared" si="0"/>
        <v/>
      </c>
      <c r="AB34" s="55" t="str">
        <f t="shared" si="0"/>
        <v/>
      </c>
      <c r="AC34" s="55" t="str">
        <f t="shared" si="0"/>
        <v/>
      </c>
      <c r="AD34" s="55" t="str">
        <f t="shared" si="0"/>
        <v/>
      </c>
      <c r="AE34" s="55" t="str">
        <f t="shared" si="0"/>
        <v/>
      </c>
      <c r="AF34" s="56" t="str">
        <f t="shared" si="0"/>
        <v/>
      </c>
    </row>
    <row r="35" spans="1:32" s="17" customFormat="1">
      <c r="H35" s="47"/>
      <c r="I35" s="47"/>
      <c r="J35" s="47"/>
      <c r="K35" s="47"/>
      <c r="L35" s="47"/>
      <c r="M35" s="47"/>
      <c r="N35" s="48"/>
      <c r="O35" s="49"/>
      <c r="P35" s="47"/>
      <c r="Q35" s="47"/>
      <c r="R35" s="47"/>
      <c r="S35" s="47"/>
      <c r="T35" s="47"/>
      <c r="U35" s="47"/>
      <c r="V35" s="47"/>
    </row>
  </sheetData>
  <sheetProtection insertRows="0"/>
  <protectedRanges>
    <protectedRange sqref="B4:G5 B11:G11" name="Range2_1"/>
    <protectedRange sqref="B1:O2 P2 T1 AC1:AF2" name="Range1_1"/>
    <protectedRange sqref="H29:AF33" name="Range3_1_1"/>
    <protectedRange sqref="H4:AF5 H11:AF11" name="Range2_1_1"/>
    <protectedRange sqref="B6:G10" name="Range2_1_2"/>
    <protectedRange sqref="H6:AF10" name="Range2_1_1_1"/>
    <protectedRange sqref="B12:G28" name="Range2_1_3"/>
    <protectedRange sqref="H12:AF28" name="Range2_1_1_2"/>
  </protectedRanges>
  <mergeCells count="55">
    <mergeCell ref="A11:A28"/>
    <mergeCell ref="B12:B28"/>
    <mergeCell ref="E24:G24"/>
    <mergeCell ref="C25:G25"/>
    <mergeCell ref="D26:G26"/>
    <mergeCell ref="C27:G27"/>
    <mergeCell ref="D28:G28"/>
    <mergeCell ref="E16:G16"/>
    <mergeCell ref="E17:G17"/>
    <mergeCell ref="E18:G18"/>
    <mergeCell ref="C19:G19"/>
    <mergeCell ref="C20:C24"/>
    <mergeCell ref="D20:G20"/>
    <mergeCell ref="D21:D24"/>
    <mergeCell ref="E21:G21"/>
    <mergeCell ref="E22:G22"/>
    <mergeCell ref="E23:G23"/>
    <mergeCell ref="B6:B10"/>
    <mergeCell ref="C6:G6"/>
    <mergeCell ref="D7:G7"/>
    <mergeCell ref="C8:G8"/>
    <mergeCell ref="D9:G9"/>
    <mergeCell ref="C10:G10"/>
    <mergeCell ref="A29:A32"/>
    <mergeCell ref="B29:F29"/>
    <mergeCell ref="B30:F30"/>
    <mergeCell ref="B31:F31"/>
    <mergeCell ref="B32:F32"/>
    <mergeCell ref="A33:A34"/>
    <mergeCell ref="B33:E33"/>
    <mergeCell ref="F33:G33"/>
    <mergeCell ref="B34:E34"/>
    <mergeCell ref="F34:G34"/>
    <mergeCell ref="C13:G13"/>
    <mergeCell ref="C14:C18"/>
    <mergeCell ref="D14:G14"/>
    <mergeCell ref="D15:D18"/>
    <mergeCell ref="E15:G15"/>
    <mergeCell ref="B11:G11"/>
    <mergeCell ref="C12:G12"/>
    <mergeCell ref="A4:A10"/>
    <mergeCell ref="B4:G4"/>
    <mergeCell ref="B5:G5"/>
    <mergeCell ref="B2:E2"/>
    <mergeCell ref="F2:H2"/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</mergeCells>
  <phoneticPr fontId="2"/>
  <conditionalFormatting sqref="H6:AF10">
    <cfRule type="expression" dxfId="26" priority="3" stopIfTrue="1">
      <formula>H$35="NA"</formula>
    </cfRule>
    <cfRule type="expression" dxfId="25" priority="4" stopIfTrue="1">
      <formula>H$35="NG"</formula>
    </cfRule>
  </conditionalFormatting>
  <conditionalFormatting sqref="H12:AF28">
    <cfRule type="expression" dxfId="24" priority="11" stopIfTrue="1">
      <formula>H$33="NA"</formula>
    </cfRule>
    <cfRule type="expression" dxfId="23" priority="12" stopIfTrue="1">
      <formula>H$33="NG"</formula>
    </cfRule>
  </conditionalFormatting>
  <conditionalFormatting sqref="H3:AF34">
    <cfRule type="expression" dxfId="22" priority="17" stopIfTrue="1">
      <formula>H$32="NA"</formula>
    </cfRule>
    <cfRule type="expression" dxfId="21" priority="18" stopIfTrue="1">
      <formula>H$32="NG"</formula>
    </cfRule>
  </conditionalFormatting>
  <dataValidations xWindow="51" yWindow="409" count="10">
    <dataValidation allowBlank="1" showInputMessage="1" showErrorMessage="1" promptTitle="Condition Type" prompt="N : Normal _x000a_A : Abnormal _x000a_B : Boundary" sqref="G29"/>
    <dataValidation allowBlank="1" showInputMessage="1" showErrorMessage="1" promptTitle="Enter" prompt="Name of the person who performed the test" sqref="G30"/>
    <dataValidation allowBlank="1" showInputMessage="1" showErrorMessage="1" promptTitle="Testing Date" prompt="Date on which test was performed in yyyy/mm/dd format" sqref="G31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32"/>
    <dataValidation allowBlank="1" showInputMessage="1" showErrorMessage="1" promptTitle="Bug ID" prompt="Unique ID throughout the project._x000a_For every Bug found during Test as well as Re-Test, a new Bug ID needs to be entered here (as a comma seperated value)" sqref="B33:E33"/>
    <dataValidation allowBlank="1" showInputMessage="1" showErrorMessage="1" promptTitle="PCL sheet name" prompt=" " sqref="F33:G33"/>
    <dataValidation type="list" allowBlank="1" showInputMessage="1" showErrorMessage="1" sqref="H32:AF32">
      <formula1>"OK, NG, NA, PT"</formula1>
    </dataValidation>
    <dataValidation type="list" allowBlank="1" showInputMessage="1" showErrorMessage="1" sqref="H29:AF29">
      <formula1>"N, A, B"</formula1>
    </dataValidation>
    <dataValidation allowBlank="1" showInputMessage="1" showErrorMessage="1" promptTitle="Check points" prompt="that need / need not be executed" sqref="IW12:IW28 SS12:SS28 ACO12:ACO28 AMK12:AMK28 AWG12:AWG28 BGC12:BGC28 BPY12:BPY28 BZU12:BZU28 CJQ12:CJQ28 CTM12:CTM28 DDI12:DDI28 DNE12:DNE28 DXA12:DXA28 EGW12:EGW28 EQS12:EQS28 FAO12:FAO28 FKK12:FKK28 FUG12:FUG28 GEC12:GEC28 GNY12:GNY28 GXU12:GXU28 HHQ12:HHQ28 HRM12:HRM28 IBI12:IBI28 ILE12:ILE28 IVA12:IVA28 JEW12:JEW28 JOS12:JOS28 JYO12:JYO28 KIK12:KIK28 KSG12:KSG28 LCC12:LCC28 LLY12:LLY28 LVU12:LVU28 MFQ12:MFQ28 MPM12:MPM28 MZI12:MZI28 NJE12:NJE28 NTA12:NTA28 OCW12:OCW28 OMS12:OMS28 OWO12:OWO28 PGK12:PGK28 PQG12:PQG28 QAC12:QAC28 QJY12:QJY28 QTU12:QTU28 RDQ12:RDQ28 RNM12:RNM28 RXI12:RXI28 SHE12:SHE28 SRA12:SRA28 TAW12:TAW28 TKS12:TKS28 TUO12:TUO28 UEK12:UEK28 UOG12:UOG28 UYC12:UYC28 VHY12:VHY28 VRU12:VRU28 WBQ12:WBQ28 WLM12:WLM28 WVI12:WVI28 A11"/>
    <dataValidation allowBlank="1" showInputMessage="1" showErrorMessage="1" promptTitle="Input conditions" prompt="that need to be checked." sqref="A4:A10 IW6:IW10 SS6:SS10 ACO6:ACO10 AMK6:AMK10 AWG6:AWG10 BGC6:BGC10 BPY6:BPY10 BZU6:BZU10 CJQ6:CJQ10 CTM6:CTM10 DDI6:DDI10 DNE6:DNE10 DXA6:DXA10 EGW6:EGW10 EQS6:EQS10 FAO6:FAO10 FKK6:FKK10 FUG6:FUG10 GEC6:GEC10 GNY6:GNY10 GXU6:GXU10 HHQ6:HHQ10 HRM6:HRM10 IBI6:IBI10 ILE6:ILE10 IVA6:IVA10 JEW6:JEW10 JOS6:JOS10 JYO6:JYO10 KIK6:KIK10 KSG6:KSG10 LCC6:LCC10 LLY6:LLY10 LVU6:LVU10 MFQ6:MFQ10 MPM6:MPM10 MZI6:MZI10 NJE6:NJE10 NTA6:NTA10 OCW6:OCW10 OMS6:OMS10 OWO6:OWO10 PGK6:PGK10 PQG6:PQG10 QAC6:QAC10 QJY6:QJY10 QTU6:QTU10 RDQ6:RDQ10 RNM6:RNM10 RXI6:RXI10 SHE6:SHE10 SRA6:SRA10 TAW6:TAW10 TKS6:TKS10 TUO6:TUO10 UEK6:UEK10 UOG6:UOG10 UYC6:UYC10 VHY6:VHY10 VRU6:VRU10 WBQ6:WBQ10 WLM6:WLM10 WVI6:WVI10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AF18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L17" sqref="L17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80" t="s">
        <v>51</v>
      </c>
      <c r="C1" s="181"/>
      <c r="D1" s="181"/>
      <c r="E1" s="182"/>
      <c r="F1" s="180" t="s">
        <v>107</v>
      </c>
      <c r="G1" s="181"/>
      <c r="H1" s="181"/>
      <c r="I1" s="181"/>
      <c r="J1" s="181"/>
      <c r="K1" s="181"/>
      <c r="L1" s="181"/>
      <c r="M1" s="181"/>
      <c r="N1" s="181"/>
      <c r="O1" s="182"/>
      <c r="P1" s="183" t="s">
        <v>0</v>
      </c>
      <c r="Q1" s="184"/>
      <c r="R1" s="184"/>
      <c r="S1" s="185"/>
      <c r="T1" s="180" t="s">
        <v>64</v>
      </c>
      <c r="U1" s="181"/>
      <c r="V1" s="181"/>
      <c r="W1" s="181"/>
      <c r="X1" s="181"/>
      <c r="Y1" s="181"/>
      <c r="Z1" s="182"/>
      <c r="AA1" s="186" t="s">
        <v>10</v>
      </c>
      <c r="AB1" s="186"/>
      <c r="AC1" s="172">
        <v>43687</v>
      </c>
      <c r="AD1" s="172"/>
      <c r="AE1" s="172"/>
      <c r="AF1" s="173"/>
    </row>
    <row r="2" spans="1:32" ht="20.100000000000001" customHeight="1" thickBot="1">
      <c r="A2" s="64" t="s">
        <v>4</v>
      </c>
      <c r="B2" s="174" t="s">
        <v>85</v>
      </c>
      <c r="C2" s="175"/>
      <c r="D2" s="175"/>
      <c r="E2" s="176"/>
      <c r="F2" s="174" t="s">
        <v>87</v>
      </c>
      <c r="G2" s="175"/>
      <c r="H2" s="176"/>
      <c r="I2" s="146" t="s">
        <v>109</v>
      </c>
      <c r="J2" s="147"/>
      <c r="K2" s="147"/>
      <c r="L2" s="147"/>
      <c r="M2" s="147"/>
      <c r="N2" s="147"/>
      <c r="O2" s="148"/>
      <c r="P2" s="174"/>
      <c r="Q2" s="175"/>
      <c r="R2" s="175"/>
      <c r="S2" s="175"/>
      <c r="T2" s="175"/>
      <c r="U2" s="175"/>
      <c r="V2" s="175"/>
      <c r="W2" s="175"/>
      <c r="X2" s="175"/>
      <c r="Y2" s="175"/>
      <c r="Z2" s="176"/>
      <c r="AA2" s="177" t="s">
        <v>12</v>
      </c>
      <c r="AB2" s="178"/>
      <c r="AC2" s="174" t="s">
        <v>110</v>
      </c>
      <c r="AD2" s="175"/>
      <c r="AE2" s="175"/>
      <c r="AF2" s="179"/>
    </row>
    <row r="3" spans="1:32" ht="37.5" customHeight="1" thickBot="1">
      <c r="A3" s="66" t="s">
        <v>42</v>
      </c>
      <c r="B3" s="10"/>
      <c r="C3" s="10"/>
      <c r="D3" s="10"/>
      <c r="E3" s="10"/>
      <c r="F3" s="10"/>
      <c r="G3" s="65" t="s">
        <v>43</v>
      </c>
      <c r="H3" s="11">
        <f>IF(COUNTA(H4:H12)&gt;0,1,"")</f>
        <v>1</v>
      </c>
      <c r="I3" s="12">
        <f>IF(COUNTA(I4:I12)&gt;0,IF(H3&gt;0,H3+1,""),"")</f>
        <v>2</v>
      </c>
      <c r="J3" s="12" t="str">
        <f>IF(COUNTA(J4:J12)&gt;0,IF(I3&gt;0,I3+1,""),"")</f>
        <v/>
      </c>
      <c r="K3" s="12" t="str">
        <f>IF(COUNTA(K4:K12)&gt;0,IF(J3&gt;0,J3+1,""),"")</f>
        <v/>
      </c>
      <c r="L3" s="12" t="str">
        <f>IF(COUNTA(L4:L12)&gt;0,IF(K3&gt;0,K3+1,""),"")</f>
        <v/>
      </c>
      <c r="M3" s="12" t="str">
        <f>IF(COUNTA(M4:M12)&gt;0,IF(L3&gt;0,L3+1,""),"")</f>
        <v/>
      </c>
      <c r="N3" s="12" t="str">
        <f>IF(COUNTA(N4:N12)&gt;0,IF(M3&gt;0,M3+1,""),"")</f>
        <v/>
      </c>
      <c r="O3" s="12" t="str">
        <f>IF(COUNTA(O4:O12)&gt;0,IF(N3&gt;0,N3+1,""),"")</f>
        <v/>
      </c>
      <c r="P3" s="12" t="str">
        <f>IF(COUNTA(P4:P12)&gt;0,IF(O3&gt;0,O3+1,""),"")</f>
        <v/>
      </c>
      <c r="Q3" s="12" t="str">
        <f>IF(COUNTA(Q4:Q12)&gt;0,IF(P3&gt;0,P3+1,""),"")</f>
        <v/>
      </c>
      <c r="R3" s="12" t="str">
        <f>IF(COUNTA(R4:R12)&gt;0,IF(Q3&gt;0,Q3+1,""),"")</f>
        <v/>
      </c>
      <c r="S3" s="12" t="str">
        <f>IF(COUNTA(S4:S12)&gt;0,IF(R3&gt;0,R3+1,""),"")</f>
        <v/>
      </c>
      <c r="T3" s="12" t="str">
        <f>IF(COUNTA(T4:T12)&gt;0,IF(S3&gt;0,S3+1,""),"")</f>
        <v/>
      </c>
      <c r="U3" s="12" t="str">
        <f>IF(COUNTA(U4:U12)&gt;0,IF(T3&gt;0,T3+1,""),"")</f>
        <v/>
      </c>
      <c r="V3" s="12" t="str">
        <f>IF(COUNTA(V4:V12)&gt;0,IF(U3&gt;0,U3+1,""),"")</f>
        <v/>
      </c>
      <c r="W3" s="12" t="str">
        <f>IF(COUNTA(W4:W12)&gt;0,IF(V3&gt;0,V3+1,""),"")</f>
        <v/>
      </c>
      <c r="X3" s="12" t="str">
        <f>IF(COUNTA(X4:X12)&gt;0,IF(W3&gt;0,W3+1,""),"")</f>
        <v/>
      </c>
      <c r="Y3" s="12" t="str">
        <f>IF(COUNTA(Y4:Y12)&gt;0,IF(X3&gt;0,X3+1,""),"")</f>
        <v/>
      </c>
      <c r="Z3" s="12" t="str">
        <f>IF(COUNTA(Z4:Z12)&gt;0,IF(Y3&gt;0,Y3+1,""),"")</f>
        <v/>
      </c>
      <c r="AA3" s="12" t="str">
        <f>IF(COUNTA(AA4:AA12)&gt;0,IF(Z3&gt;0,Z3+1,""),"")</f>
        <v/>
      </c>
      <c r="AB3" s="12" t="str">
        <f>IF(COUNTA(AB4:AB12)&gt;0,IF(AA3&gt;0,AA3+1,""),"")</f>
        <v/>
      </c>
      <c r="AC3" s="12" t="str">
        <f>IF(COUNTA(AC4:AC12)&gt;0,IF(AB3&gt;0,AB3+1,""),"")</f>
        <v/>
      </c>
      <c r="AD3" s="12" t="str">
        <f>IF(COUNTA(AD4:AD12)&gt;0,IF(AC3&gt;0,AC3+1,""),"")</f>
        <v/>
      </c>
      <c r="AE3" s="12" t="str">
        <f>IF(COUNTA(AE4:AE12)&gt;0,IF(AD3&gt;0,AD3+1,""),"")</f>
        <v/>
      </c>
      <c r="AF3" s="13" t="str">
        <f>IF(COUNTA(AF4:AF12)&gt;0,IF(AE3&gt;0,AE3+1,""),"")</f>
        <v/>
      </c>
    </row>
    <row r="4" spans="1:32" s="17" customFormat="1" ht="13.5" customHeight="1">
      <c r="A4" s="158" t="s">
        <v>44</v>
      </c>
      <c r="B4" s="194" t="s">
        <v>106</v>
      </c>
      <c r="C4" s="194"/>
      <c r="D4" s="194"/>
      <c r="E4" s="194"/>
      <c r="F4" s="194"/>
      <c r="G4" s="19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9"/>
      <c r="B5" s="163" t="s">
        <v>109</v>
      </c>
      <c r="C5" s="195"/>
      <c r="D5" s="195"/>
      <c r="E5" s="195"/>
      <c r="F5" s="195"/>
      <c r="G5" s="195"/>
      <c r="H5" s="18" t="s">
        <v>103</v>
      </c>
      <c r="I5" s="19" t="s">
        <v>103</v>
      </c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59"/>
      <c r="B6" s="212"/>
      <c r="C6" s="201" t="s">
        <v>117</v>
      </c>
      <c r="D6" s="139"/>
      <c r="E6" s="139"/>
      <c r="F6" s="139"/>
      <c r="G6" s="140"/>
      <c r="H6" s="76" t="s">
        <v>103</v>
      </c>
      <c r="I6" s="62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 thickBot="1">
      <c r="A7" s="159"/>
      <c r="B7" s="213" t="s">
        <v>56</v>
      </c>
      <c r="C7" s="214"/>
      <c r="D7" s="214"/>
      <c r="E7" s="214"/>
      <c r="F7" s="214"/>
      <c r="G7" s="215"/>
      <c r="H7" s="22"/>
      <c r="I7" s="62" t="s">
        <v>66</v>
      </c>
      <c r="J7" s="23"/>
      <c r="K7" s="62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70" t="s">
        <v>45</v>
      </c>
      <c r="B8" s="193" t="s">
        <v>25</v>
      </c>
      <c r="C8" s="214"/>
      <c r="D8" s="194"/>
      <c r="E8" s="194"/>
      <c r="F8" s="194"/>
      <c r="G8" s="194"/>
      <c r="H8" s="25"/>
      <c r="I8" s="26"/>
      <c r="J8" s="26"/>
      <c r="K8" s="67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7"/>
    </row>
    <row r="9" spans="1:32" s="17" customFormat="1" ht="13.5" customHeight="1">
      <c r="A9" s="171"/>
      <c r="B9" s="21"/>
      <c r="C9" s="198" t="s">
        <v>116</v>
      </c>
      <c r="D9" s="199"/>
      <c r="E9" s="199"/>
      <c r="F9" s="199"/>
      <c r="G9" s="199"/>
      <c r="H9" s="76" t="s">
        <v>66</v>
      </c>
      <c r="I9" s="23"/>
      <c r="J9" s="23"/>
      <c r="K9" s="62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71"/>
      <c r="B10" s="21"/>
      <c r="C10" s="134" t="s">
        <v>56</v>
      </c>
      <c r="D10" s="135"/>
      <c r="E10" s="135"/>
      <c r="F10" s="135"/>
      <c r="G10" s="135"/>
      <c r="H10" s="22"/>
      <c r="I10" s="23"/>
      <c r="J10" s="23"/>
      <c r="K10" s="62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 thickBot="1">
      <c r="A11" s="171"/>
      <c r="B11" s="21"/>
      <c r="C11" s="226"/>
      <c r="D11" s="134" t="s">
        <v>95</v>
      </c>
      <c r="E11" s="135"/>
      <c r="F11" s="135"/>
      <c r="G11" s="136"/>
      <c r="H11" s="22"/>
      <c r="I11" s="62" t="s">
        <v>66</v>
      </c>
      <c r="J11" s="23"/>
      <c r="K11" s="62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24" customHeight="1">
      <c r="A12" s="150" t="s">
        <v>46</v>
      </c>
      <c r="B12" s="152"/>
      <c r="C12" s="153"/>
      <c r="D12" s="153"/>
      <c r="E12" s="153"/>
      <c r="F12" s="154"/>
      <c r="G12" s="35" t="s">
        <v>36</v>
      </c>
      <c r="H12" s="36" t="s">
        <v>104</v>
      </c>
      <c r="I12" s="37" t="s">
        <v>59</v>
      </c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8"/>
    </row>
    <row r="13" spans="1:32" s="17" customFormat="1" ht="27" customHeight="1">
      <c r="A13" s="151"/>
      <c r="B13" s="155"/>
      <c r="C13" s="156"/>
      <c r="D13" s="156"/>
      <c r="E13" s="156"/>
      <c r="F13" s="157"/>
      <c r="G13" s="39" t="s">
        <v>37</v>
      </c>
      <c r="H13" s="40" t="s">
        <v>105</v>
      </c>
      <c r="I13" s="75" t="s">
        <v>105</v>
      </c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42"/>
    </row>
    <row r="14" spans="1:32" s="17" customFormat="1" ht="27" customHeight="1">
      <c r="A14" s="151"/>
      <c r="B14" s="155"/>
      <c r="C14" s="156"/>
      <c r="D14" s="156"/>
      <c r="E14" s="156"/>
      <c r="F14" s="157"/>
      <c r="G14" s="39" t="s">
        <v>38</v>
      </c>
      <c r="H14" s="43">
        <v>43687</v>
      </c>
      <c r="I14" s="44">
        <v>43687</v>
      </c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5"/>
    </row>
    <row r="15" spans="1:32" s="17" customFormat="1" ht="24.75" customHeight="1">
      <c r="A15" s="151"/>
      <c r="B15" s="155" t="s">
        <v>49</v>
      </c>
      <c r="C15" s="156"/>
      <c r="D15" s="156"/>
      <c r="E15" s="156"/>
      <c r="F15" s="157"/>
      <c r="G15" s="46" t="s">
        <v>1</v>
      </c>
      <c r="H15" s="40" t="s">
        <v>62</v>
      </c>
      <c r="I15" s="75" t="s">
        <v>72</v>
      </c>
      <c r="J15" s="75"/>
      <c r="K15" s="75"/>
      <c r="L15" s="75"/>
      <c r="M15" s="75"/>
      <c r="N15" s="69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42"/>
    </row>
    <row r="16" spans="1:32" s="17" customFormat="1" ht="24.75" customHeight="1">
      <c r="A16" s="141" t="s">
        <v>47</v>
      </c>
      <c r="B16" s="143" t="s">
        <v>40</v>
      </c>
      <c r="C16" s="143"/>
      <c r="D16" s="143"/>
      <c r="E16" s="143"/>
      <c r="F16" s="144" t="str">
        <f>GetBugSheetName()</f>
        <v>1_Click_</v>
      </c>
      <c r="G16" s="145"/>
      <c r="H16" s="60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4"/>
    </row>
    <row r="17" spans="1:32" s="17" customFormat="1" ht="36" customHeight="1" thickBot="1">
      <c r="A17" s="142"/>
      <c r="B17" s="146" t="s">
        <v>30</v>
      </c>
      <c r="C17" s="147"/>
      <c r="D17" s="147"/>
      <c r="E17" s="148"/>
      <c r="F17" s="146"/>
      <c r="G17" s="149"/>
      <c r="H17" s="61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 t="str">
        <f t="shared" ref="S17:AF17" si="0">IF(S16="","",(SUM(LEN(S16)-LEN(SUBSTITUTE(S16,",","")))/LEN(",")) + 1 )</f>
        <v/>
      </c>
      <c r="T17" s="55" t="str">
        <f t="shared" si="0"/>
        <v/>
      </c>
      <c r="U17" s="55" t="str">
        <f t="shared" si="0"/>
        <v/>
      </c>
      <c r="V17" s="55" t="str">
        <f t="shared" si="0"/>
        <v/>
      </c>
      <c r="W17" s="55" t="str">
        <f t="shared" si="0"/>
        <v/>
      </c>
      <c r="X17" s="55" t="str">
        <f t="shared" si="0"/>
        <v/>
      </c>
      <c r="Y17" s="55" t="str">
        <f t="shared" si="0"/>
        <v/>
      </c>
      <c r="Z17" s="55" t="str">
        <f t="shared" si="0"/>
        <v/>
      </c>
      <c r="AA17" s="55" t="str">
        <f t="shared" si="0"/>
        <v/>
      </c>
      <c r="AB17" s="55" t="str">
        <f t="shared" si="0"/>
        <v/>
      </c>
      <c r="AC17" s="55" t="str">
        <f t="shared" si="0"/>
        <v/>
      </c>
      <c r="AD17" s="55" t="str">
        <f t="shared" si="0"/>
        <v/>
      </c>
      <c r="AE17" s="55" t="str">
        <f t="shared" si="0"/>
        <v/>
      </c>
      <c r="AF17" s="56" t="str">
        <f t="shared" si="0"/>
        <v/>
      </c>
    </row>
    <row r="18" spans="1:32" s="17" customFormat="1">
      <c r="H18" s="47"/>
      <c r="I18" s="47"/>
      <c r="J18" s="47"/>
      <c r="K18" s="47"/>
      <c r="L18" s="47"/>
      <c r="M18" s="47"/>
      <c r="N18" s="48"/>
      <c r="O18" s="49"/>
      <c r="P18" s="47"/>
      <c r="Q18" s="47"/>
      <c r="R18" s="47"/>
      <c r="S18" s="47"/>
      <c r="T18" s="47"/>
      <c r="U18" s="47"/>
      <c r="V18" s="47"/>
    </row>
  </sheetData>
  <sheetProtection insertRows="0"/>
  <protectedRanges>
    <protectedRange sqref="B4:G5 B8:G8" name="Range2_1"/>
    <protectedRange sqref="B1:O2 P2 T1 AC1:AF2" name="Range1_1"/>
    <protectedRange sqref="H12:AF16" name="Range3_1_1"/>
    <protectedRange sqref="H4:AF5 H8:AF8" name="Range2_1_1"/>
    <protectedRange sqref="B9:G11 B6:G7" name="Range2_1_2"/>
    <protectedRange sqref="H9:AF11 H6:AF7" name="Range2_1_1_1"/>
  </protectedRanges>
  <mergeCells count="32">
    <mergeCell ref="C9:G9"/>
    <mergeCell ref="C10:G10"/>
    <mergeCell ref="D11:G11"/>
    <mergeCell ref="C6:G6"/>
    <mergeCell ref="B7:G7"/>
    <mergeCell ref="A12:A15"/>
    <mergeCell ref="B12:F12"/>
    <mergeCell ref="B13:F13"/>
    <mergeCell ref="B14:F14"/>
    <mergeCell ref="B15:F15"/>
    <mergeCell ref="A16:A17"/>
    <mergeCell ref="B16:E16"/>
    <mergeCell ref="F16:G16"/>
    <mergeCell ref="B17:E17"/>
    <mergeCell ref="F17:G17"/>
    <mergeCell ref="A8:A11"/>
    <mergeCell ref="B8:G8"/>
    <mergeCell ref="A4:A7"/>
    <mergeCell ref="B4:G4"/>
    <mergeCell ref="B5:G5"/>
    <mergeCell ref="B2:E2"/>
    <mergeCell ref="F2:H2"/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</mergeCells>
  <phoneticPr fontId="2"/>
  <conditionalFormatting sqref="H6:AF7 H9:AF11">
    <cfRule type="expression" dxfId="13" priority="11" stopIfTrue="1">
      <formula>#REF!="NA"</formula>
    </cfRule>
    <cfRule type="expression" dxfId="12" priority="12" stopIfTrue="1">
      <formula>#REF!="NG"</formula>
    </cfRule>
  </conditionalFormatting>
  <conditionalFormatting sqref="H3:AF17">
    <cfRule type="expression" dxfId="11" priority="25" stopIfTrue="1">
      <formula>H$15="NA"</formula>
    </cfRule>
    <cfRule type="expression" dxfId="10" priority="26" stopIfTrue="1">
      <formula>H$15="NG"</formula>
    </cfRule>
  </conditionalFormatting>
  <dataValidations count="10">
    <dataValidation allowBlank="1" showInputMessage="1" showErrorMessage="1" promptTitle="Condition Type" prompt="N : Normal _x000a_A : Abnormal _x000a_B : Boundary" sqref="G12"/>
    <dataValidation allowBlank="1" showInputMessage="1" showErrorMessage="1" promptTitle="Enter" prompt="Name of the person who performed the test" sqref="G13"/>
    <dataValidation allowBlank="1" showInputMessage="1" showErrorMessage="1" promptTitle="Testing Date" prompt="Date on which test was performed in yyyy/mm/dd format" sqref="G14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5"/>
    <dataValidation allowBlank="1" showInputMessage="1" showErrorMessage="1" promptTitle="Bug ID" prompt="Unique ID throughout the project._x000a_For every Bug found during Test as well as Re-Test, a new Bug ID needs to be entered here (as a comma seperated value)" sqref="B16:E16"/>
    <dataValidation allowBlank="1" showInputMessage="1" showErrorMessage="1" promptTitle="PCL sheet name" prompt=" " sqref="F16:G16"/>
    <dataValidation type="list" allowBlank="1" showInputMessage="1" showErrorMessage="1" sqref="H15:AF15">
      <formula1>"OK, NG, NA, PT"</formula1>
    </dataValidation>
    <dataValidation type="list" allowBlank="1" showInputMessage="1" showErrorMessage="1" sqref="H12:AF12">
      <formula1>"N, A, B"</formula1>
    </dataValidation>
    <dataValidation allowBlank="1" showInputMessage="1" showErrorMessage="1" promptTitle="Check points" prompt="that need / need not be executed" sqref="WVI9:WVI11 WLM9:WLM11 WBQ9:WBQ11 VRU9:VRU11 VHY9:VHY11 UYC9:UYC11 UOG9:UOG11 UEK9:UEK11 TUO9:TUO11 TKS9:TKS11 TAW9:TAW11 SRA9:SRA11 SHE9:SHE11 RXI9:RXI11 RNM9:RNM11 RDQ9:RDQ11 QTU9:QTU11 QJY9:QJY11 QAC9:QAC11 PQG9:PQG11 PGK9:PGK11 OWO9:OWO11 OMS9:OMS11 OCW9:OCW11 NTA9:NTA11 NJE9:NJE11 MZI9:MZI11 MPM9:MPM11 MFQ9:MFQ11 LVU9:LVU11 LLY9:LLY11 LCC9:LCC11 KSG9:KSG11 KIK9:KIK11 JYO9:JYO11 JOS9:JOS11 JEW9:JEW11 IVA9:IVA11 ILE9:ILE11 IBI9:IBI11 HRM9:HRM11 HHQ9:HHQ11 GXU9:GXU11 GNY9:GNY11 GEC9:GEC11 FUG9:FUG11 FKK9:FKK11 FAO9:FAO11 EQS9:EQS11 EGW9:EGW11 DXA9:DXA11 DNE9:DNE11 DDI9:DDI11 CTM9:CTM11 CJQ9:CJQ11 BZU9:BZU11 BPY9:BPY11 BGC9:BGC11 AWG9:AWG11 AMK9:AMK11 ACO9:ACO11 SS9:SS11 IW9:IW11 A8:A11"/>
    <dataValidation allowBlank="1" showInputMessage="1" showErrorMessage="1" promptTitle="Input conditions" prompt="that need to be checked." sqref="A4:A7 IW6:IW7 SS6:SS7 ACO6:ACO7 AMK6:AMK7 AWG6:AWG7 BGC6:BGC7 BPY6:BPY7 BZU6:BZU7 CJQ6:CJQ7 CTM6:CTM7 DDI6:DDI7 DNE6:DNE7 DXA6:DXA7 EGW6:EGW7 EQS6:EQS7 FAO6:FAO7 FKK6:FKK7 FUG6:FUG7 GEC6:GEC7 GNY6:GNY7 GXU6:GXU7 HHQ6:HHQ7 HRM6:HRM7 IBI6:IBI7 ILE6:ILE7 IVA6:IVA7 JEW6:JEW7 JOS6:JOS7 JYO6:JYO7 KIK6:KIK7 KSG6:KSG7 LCC6:LCC7 LLY6:LLY7 LVU6:LVU7 MFQ6:MFQ7 MPM6:MPM7 MZI6:MZI7 NJE6:NJE7 NTA6:NTA7 OCW6:OCW7 OMS6:OMS7 OWO6:OWO7 PGK6:PGK7 PQG6:PQG7 QAC6:QAC7 QJY6:QJY7 QTU6:QTU7 RDQ6:RDQ7 RNM6:RNM7 RXI6:RXI7 SHE6:SHE7 SRA6:SRA7 TAW6:TAW7 TKS6:TKS7 TUO6:TUO7 UEK6:UEK7 UOG6:UOG7 UYC6:UYC7 VHY6:VHY7 VRU6:VRU7 WBQ6:WBQ7 WLM6:WLM7 WVI6:WVI7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AF18"/>
  <sheetViews>
    <sheetView tabSelected="1"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I13" sqref="I13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80" t="s">
        <v>51</v>
      </c>
      <c r="C1" s="181"/>
      <c r="D1" s="181"/>
      <c r="E1" s="182"/>
      <c r="F1" s="180" t="s">
        <v>111</v>
      </c>
      <c r="G1" s="181"/>
      <c r="H1" s="181"/>
      <c r="I1" s="181"/>
      <c r="J1" s="181"/>
      <c r="K1" s="181"/>
      <c r="L1" s="181"/>
      <c r="M1" s="181"/>
      <c r="N1" s="181"/>
      <c r="O1" s="182"/>
      <c r="P1" s="183" t="s">
        <v>0</v>
      </c>
      <c r="Q1" s="184"/>
      <c r="R1" s="184"/>
      <c r="S1" s="185"/>
      <c r="T1" s="180" t="s">
        <v>64</v>
      </c>
      <c r="U1" s="181"/>
      <c r="V1" s="181"/>
      <c r="W1" s="181"/>
      <c r="X1" s="181"/>
      <c r="Y1" s="181"/>
      <c r="Z1" s="182"/>
      <c r="AA1" s="186" t="s">
        <v>10</v>
      </c>
      <c r="AB1" s="186"/>
      <c r="AC1" s="172">
        <v>43687</v>
      </c>
      <c r="AD1" s="172"/>
      <c r="AE1" s="172"/>
      <c r="AF1" s="173"/>
    </row>
    <row r="2" spans="1:32" ht="20.100000000000001" customHeight="1" thickBot="1">
      <c r="A2" s="64" t="s">
        <v>4</v>
      </c>
      <c r="B2" s="174" t="s">
        <v>85</v>
      </c>
      <c r="C2" s="175"/>
      <c r="D2" s="175"/>
      <c r="E2" s="176"/>
      <c r="F2" s="174" t="s">
        <v>112</v>
      </c>
      <c r="G2" s="175"/>
      <c r="H2" s="176"/>
      <c r="I2" s="146" t="s">
        <v>114</v>
      </c>
      <c r="J2" s="147"/>
      <c r="K2" s="147"/>
      <c r="L2" s="147"/>
      <c r="M2" s="147"/>
      <c r="N2" s="147"/>
      <c r="O2" s="148"/>
      <c r="P2" s="174"/>
      <c r="Q2" s="175"/>
      <c r="R2" s="175"/>
      <c r="S2" s="175"/>
      <c r="T2" s="175"/>
      <c r="U2" s="175"/>
      <c r="V2" s="175"/>
      <c r="W2" s="175"/>
      <c r="X2" s="175"/>
      <c r="Y2" s="175"/>
      <c r="Z2" s="176"/>
      <c r="AA2" s="177" t="s">
        <v>12</v>
      </c>
      <c r="AB2" s="178"/>
      <c r="AC2" s="174" t="s">
        <v>115</v>
      </c>
      <c r="AD2" s="175"/>
      <c r="AE2" s="175"/>
      <c r="AF2" s="179"/>
    </row>
    <row r="3" spans="1:32" ht="37.5" customHeight="1" thickBot="1">
      <c r="A3" s="66" t="s">
        <v>42</v>
      </c>
      <c r="B3" s="10"/>
      <c r="C3" s="10"/>
      <c r="D3" s="10"/>
      <c r="E3" s="10"/>
      <c r="F3" s="10"/>
      <c r="G3" s="65" t="s">
        <v>43</v>
      </c>
      <c r="H3" s="11">
        <f>IF(COUNTA(H4:H12)&gt;0,1,"")</f>
        <v>1</v>
      </c>
      <c r="I3" s="12">
        <f>IF(COUNTA(I4:I12)&gt;0,IF(H3&gt;0,H3+1,""),"")</f>
        <v>2</v>
      </c>
      <c r="J3" s="12" t="str">
        <f>IF(COUNTA(J4:J12)&gt;0,IF(I3&gt;0,I3+1,""),"")</f>
        <v/>
      </c>
      <c r="K3" s="12" t="str">
        <f>IF(COUNTA(K4:K12)&gt;0,IF(J3&gt;0,J3+1,""),"")</f>
        <v/>
      </c>
      <c r="L3" s="12" t="str">
        <f>IF(COUNTA(L4:L12)&gt;0,IF(K3&gt;0,K3+1,""),"")</f>
        <v/>
      </c>
      <c r="M3" s="12" t="str">
        <f>IF(COUNTA(M4:M12)&gt;0,IF(L3&gt;0,L3+1,""),"")</f>
        <v/>
      </c>
      <c r="N3" s="12" t="str">
        <f>IF(COUNTA(N4:N12)&gt;0,IF(M3&gt;0,M3+1,""),"")</f>
        <v/>
      </c>
      <c r="O3" s="12" t="str">
        <f>IF(COUNTA(O4:O12)&gt;0,IF(N3&gt;0,N3+1,""),"")</f>
        <v/>
      </c>
      <c r="P3" s="12" t="str">
        <f>IF(COUNTA(P4:P12)&gt;0,IF(O3&gt;0,O3+1,""),"")</f>
        <v/>
      </c>
      <c r="Q3" s="12" t="str">
        <f>IF(COUNTA(Q4:Q12)&gt;0,IF(P3&gt;0,P3+1,""),"")</f>
        <v/>
      </c>
      <c r="R3" s="12" t="str">
        <f>IF(COUNTA(R4:R12)&gt;0,IF(Q3&gt;0,Q3+1,""),"")</f>
        <v/>
      </c>
      <c r="S3" s="12" t="str">
        <f>IF(COUNTA(S4:S12)&gt;0,IF(R3&gt;0,R3+1,""),"")</f>
        <v/>
      </c>
      <c r="T3" s="12" t="str">
        <f>IF(COUNTA(T4:T12)&gt;0,IF(S3&gt;0,S3+1,""),"")</f>
        <v/>
      </c>
      <c r="U3" s="12" t="str">
        <f>IF(COUNTA(U4:U12)&gt;0,IF(T3&gt;0,T3+1,""),"")</f>
        <v/>
      </c>
      <c r="V3" s="12" t="str">
        <f>IF(COUNTA(V4:V12)&gt;0,IF(U3&gt;0,U3+1,""),"")</f>
        <v/>
      </c>
      <c r="W3" s="12" t="str">
        <f>IF(COUNTA(W4:W12)&gt;0,IF(V3&gt;0,V3+1,""),"")</f>
        <v/>
      </c>
      <c r="X3" s="12" t="str">
        <f>IF(COUNTA(X4:X12)&gt;0,IF(W3&gt;0,W3+1,""),"")</f>
        <v/>
      </c>
      <c r="Y3" s="12" t="str">
        <f>IF(COUNTA(Y4:Y12)&gt;0,IF(X3&gt;0,X3+1,""),"")</f>
        <v/>
      </c>
      <c r="Z3" s="12" t="str">
        <f>IF(COUNTA(Z4:Z12)&gt;0,IF(Y3&gt;0,Y3+1,""),"")</f>
        <v/>
      </c>
      <c r="AA3" s="12" t="str">
        <f>IF(COUNTA(AA4:AA12)&gt;0,IF(Z3&gt;0,Z3+1,""),"")</f>
        <v/>
      </c>
      <c r="AB3" s="12" t="str">
        <f>IF(COUNTA(AB4:AB12)&gt;0,IF(AA3&gt;0,AA3+1,""),"")</f>
        <v/>
      </c>
      <c r="AC3" s="12" t="str">
        <f>IF(COUNTA(AC4:AC12)&gt;0,IF(AB3&gt;0,AB3+1,""),"")</f>
        <v/>
      </c>
      <c r="AD3" s="12" t="str">
        <f>IF(COUNTA(AD4:AD12)&gt;0,IF(AC3&gt;0,AC3+1,""),"")</f>
        <v/>
      </c>
      <c r="AE3" s="12" t="str">
        <f>IF(COUNTA(AE4:AE12)&gt;0,IF(AD3&gt;0,AD3+1,""),"")</f>
        <v/>
      </c>
      <c r="AF3" s="13" t="str">
        <f>IF(COUNTA(AF4:AF12)&gt;0,IF(AE3&gt;0,AE3+1,""),"")</f>
        <v/>
      </c>
    </row>
    <row r="4" spans="1:32" s="17" customFormat="1" ht="13.5" customHeight="1">
      <c r="A4" s="158" t="s">
        <v>44</v>
      </c>
      <c r="B4" s="194" t="s">
        <v>106</v>
      </c>
      <c r="C4" s="194"/>
      <c r="D4" s="194"/>
      <c r="E4" s="194"/>
      <c r="F4" s="194"/>
      <c r="G4" s="19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9"/>
      <c r="B5" s="163" t="s">
        <v>114</v>
      </c>
      <c r="C5" s="195"/>
      <c r="D5" s="195"/>
      <c r="E5" s="195"/>
      <c r="F5" s="195"/>
      <c r="G5" s="195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59"/>
      <c r="B6" s="212"/>
      <c r="C6" s="201" t="s">
        <v>118</v>
      </c>
      <c r="D6" s="139"/>
      <c r="E6" s="139"/>
      <c r="F6" s="139"/>
      <c r="G6" s="140"/>
      <c r="H6" s="76" t="s">
        <v>103</v>
      </c>
      <c r="I6" s="62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 thickBot="1">
      <c r="A7" s="159"/>
      <c r="B7" s="190" t="s">
        <v>56</v>
      </c>
      <c r="C7" s="191"/>
      <c r="D7" s="191"/>
      <c r="E7" s="191"/>
      <c r="F7" s="191"/>
      <c r="G7" s="192"/>
      <c r="H7" s="22"/>
      <c r="I7" s="62" t="s">
        <v>103</v>
      </c>
      <c r="J7" s="23"/>
      <c r="K7" s="62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 thickBot="1">
      <c r="A8" s="170" t="s">
        <v>45</v>
      </c>
      <c r="B8" s="193" t="s">
        <v>25</v>
      </c>
      <c r="C8" s="194"/>
      <c r="D8" s="194"/>
      <c r="E8" s="194"/>
      <c r="F8" s="194"/>
      <c r="G8" s="194"/>
      <c r="H8" s="25"/>
      <c r="I8" s="26"/>
      <c r="J8" s="26"/>
      <c r="K8" s="67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7"/>
    </row>
    <row r="9" spans="1:32" s="17" customFormat="1" ht="13.5" customHeight="1">
      <c r="A9" s="171"/>
      <c r="B9" s="222"/>
      <c r="C9" s="134" t="s">
        <v>119</v>
      </c>
      <c r="D9" s="135"/>
      <c r="E9" s="135"/>
      <c r="F9" s="135"/>
      <c r="G9" s="135"/>
      <c r="H9" s="76" t="s">
        <v>103</v>
      </c>
      <c r="I9" s="23"/>
      <c r="J9" s="23"/>
      <c r="K9" s="62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71"/>
      <c r="B10" s="196"/>
      <c r="C10" s="203" t="s">
        <v>56</v>
      </c>
      <c r="D10" s="135"/>
      <c r="E10" s="135"/>
      <c r="F10" s="135"/>
      <c r="G10" s="135"/>
      <c r="H10" s="22"/>
      <c r="I10" s="23"/>
      <c r="J10" s="23"/>
      <c r="K10" s="62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 thickBot="1">
      <c r="A11" s="202"/>
      <c r="B11" s="197"/>
      <c r="C11" s="212"/>
      <c r="D11" s="134" t="s">
        <v>102</v>
      </c>
      <c r="E11" s="135"/>
      <c r="F11" s="135"/>
      <c r="G11" s="136"/>
      <c r="H11" s="22"/>
      <c r="I11" s="62" t="s">
        <v>103</v>
      </c>
      <c r="J11" s="23"/>
      <c r="K11" s="62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24" customHeight="1">
      <c r="A12" s="150" t="s">
        <v>46</v>
      </c>
      <c r="B12" s="152"/>
      <c r="C12" s="227"/>
      <c r="D12" s="153"/>
      <c r="E12" s="153"/>
      <c r="F12" s="154"/>
      <c r="G12" s="35" t="s">
        <v>36</v>
      </c>
      <c r="H12" s="36" t="s">
        <v>104</v>
      </c>
      <c r="I12" s="37" t="s">
        <v>59</v>
      </c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8"/>
    </row>
    <row r="13" spans="1:32" s="17" customFormat="1" ht="27" customHeight="1">
      <c r="A13" s="151"/>
      <c r="B13" s="155"/>
      <c r="C13" s="156"/>
      <c r="D13" s="156"/>
      <c r="E13" s="156"/>
      <c r="F13" s="157"/>
      <c r="G13" s="39" t="s">
        <v>37</v>
      </c>
      <c r="H13" s="40" t="s">
        <v>105</v>
      </c>
      <c r="I13" s="75" t="s">
        <v>105</v>
      </c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42"/>
    </row>
    <row r="14" spans="1:32" s="17" customFormat="1" ht="27" customHeight="1">
      <c r="A14" s="151"/>
      <c r="B14" s="155"/>
      <c r="C14" s="156"/>
      <c r="D14" s="156"/>
      <c r="E14" s="156"/>
      <c r="F14" s="157"/>
      <c r="G14" s="39" t="s">
        <v>38</v>
      </c>
      <c r="H14" s="43">
        <v>43687</v>
      </c>
      <c r="I14" s="44">
        <v>43687</v>
      </c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5"/>
    </row>
    <row r="15" spans="1:32" s="17" customFormat="1" ht="24.75" customHeight="1">
      <c r="A15" s="151"/>
      <c r="B15" s="155" t="s">
        <v>49</v>
      </c>
      <c r="C15" s="156"/>
      <c r="D15" s="156"/>
      <c r="E15" s="156"/>
      <c r="F15" s="157"/>
      <c r="G15" s="46" t="s">
        <v>1</v>
      </c>
      <c r="H15" s="40" t="s">
        <v>62</v>
      </c>
      <c r="I15" s="75" t="s">
        <v>62</v>
      </c>
      <c r="J15" s="75"/>
      <c r="K15" s="75"/>
      <c r="L15" s="75"/>
      <c r="M15" s="75"/>
      <c r="N15" s="69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42"/>
    </row>
    <row r="16" spans="1:32" s="17" customFormat="1" ht="24.75" customHeight="1">
      <c r="A16" s="141" t="s">
        <v>47</v>
      </c>
      <c r="B16" s="143" t="s">
        <v>40</v>
      </c>
      <c r="C16" s="143"/>
      <c r="D16" s="143"/>
      <c r="E16" s="143"/>
      <c r="F16" s="144" t="str">
        <f>GetBugSheetName()</f>
        <v>2_Click_</v>
      </c>
      <c r="G16" s="145"/>
      <c r="H16" s="60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4"/>
    </row>
    <row r="17" spans="1:32" s="17" customFormat="1" ht="36" customHeight="1" thickBot="1">
      <c r="A17" s="142"/>
      <c r="B17" s="146" t="s">
        <v>30</v>
      </c>
      <c r="C17" s="147"/>
      <c r="D17" s="147"/>
      <c r="E17" s="148"/>
      <c r="F17" s="146"/>
      <c r="G17" s="149"/>
      <c r="H17" s="61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 t="str">
        <f t="shared" ref="S17:AF17" si="0">IF(S16="","",(SUM(LEN(S16)-LEN(SUBSTITUTE(S16,",","")))/LEN(",")) + 1 )</f>
        <v/>
      </c>
      <c r="T17" s="55" t="str">
        <f t="shared" si="0"/>
        <v/>
      </c>
      <c r="U17" s="55" t="str">
        <f t="shared" si="0"/>
        <v/>
      </c>
      <c r="V17" s="55" t="str">
        <f t="shared" si="0"/>
        <v/>
      </c>
      <c r="W17" s="55" t="str">
        <f t="shared" si="0"/>
        <v/>
      </c>
      <c r="X17" s="55" t="str">
        <f t="shared" si="0"/>
        <v/>
      </c>
      <c r="Y17" s="55" t="str">
        <f t="shared" si="0"/>
        <v/>
      </c>
      <c r="Z17" s="55" t="str">
        <f t="shared" si="0"/>
        <v/>
      </c>
      <c r="AA17" s="55" t="str">
        <f t="shared" si="0"/>
        <v/>
      </c>
      <c r="AB17" s="55" t="str">
        <f t="shared" si="0"/>
        <v/>
      </c>
      <c r="AC17" s="55" t="str">
        <f t="shared" si="0"/>
        <v/>
      </c>
      <c r="AD17" s="55" t="str">
        <f t="shared" si="0"/>
        <v/>
      </c>
      <c r="AE17" s="55" t="str">
        <f t="shared" si="0"/>
        <v/>
      </c>
      <c r="AF17" s="56" t="str">
        <f t="shared" si="0"/>
        <v/>
      </c>
    </row>
    <row r="18" spans="1:32" s="17" customFormat="1">
      <c r="H18" s="47"/>
      <c r="I18" s="47"/>
      <c r="J18" s="47"/>
      <c r="K18" s="47"/>
      <c r="L18" s="47"/>
      <c r="M18" s="47"/>
      <c r="N18" s="48"/>
      <c r="O18" s="49"/>
      <c r="P18" s="47"/>
      <c r="Q18" s="47"/>
      <c r="R18" s="47"/>
      <c r="S18" s="47"/>
      <c r="T18" s="47"/>
      <c r="U18" s="47"/>
      <c r="V18" s="47"/>
    </row>
  </sheetData>
  <sheetProtection insertRows="0"/>
  <protectedRanges>
    <protectedRange sqref="B4:G5 B8:G8" name="Range2_1"/>
    <protectedRange sqref="B1:O2 P2 T1 AC1:AF2" name="Range1_1"/>
    <protectedRange sqref="H12:AF16" name="Range3_1_1"/>
    <protectedRange sqref="H4:AF5 H8:AF8" name="Range2_1_1"/>
    <protectedRange sqref="B6:G7" name="Range2_1_2"/>
    <protectedRange sqref="H6:AF7" name="Range2_1_1_1"/>
    <protectedRange sqref="B9:G11" name="Range2_1_3"/>
    <protectedRange sqref="H9:AF11" name="Range2_1_1_2"/>
  </protectedRanges>
  <mergeCells count="33">
    <mergeCell ref="C6:G6"/>
    <mergeCell ref="B7:G7"/>
    <mergeCell ref="D11:G11"/>
    <mergeCell ref="B9:B11"/>
    <mergeCell ref="A8:A11"/>
    <mergeCell ref="A12:A15"/>
    <mergeCell ref="B12:F12"/>
    <mergeCell ref="B13:F13"/>
    <mergeCell ref="B14:F14"/>
    <mergeCell ref="B15:F15"/>
    <mergeCell ref="A16:A17"/>
    <mergeCell ref="B16:E16"/>
    <mergeCell ref="F16:G16"/>
    <mergeCell ref="B17:E17"/>
    <mergeCell ref="F17:G17"/>
    <mergeCell ref="B8:G8"/>
    <mergeCell ref="C9:G9"/>
    <mergeCell ref="C10:G10"/>
    <mergeCell ref="A4:A7"/>
    <mergeCell ref="B4:G4"/>
    <mergeCell ref="B5:G5"/>
    <mergeCell ref="B2:E2"/>
    <mergeCell ref="F2:H2"/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</mergeCells>
  <phoneticPr fontId="2"/>
  <conditionalFormatting sqref="H6:AF7">
    <cfRule type="expression" dxfId="7" priority="3" stopIfTrue="1">
      <formula>H$8="NA"</formula>
    </cfRule>
    <cfRule type="expression" dxfId="6" priority="4" stopIfTrue="1">
      <formula>H$8="NG"</formula>
    </cfRule>
  </conditionalFormatting>
  <conditionalFormatting sqref="H3:AF17">
    <cfRule type="expression" dxfId="5" priority="9" stopIfTrue="1">
      <formula>H$15="NA"</formula>
    </cfRule>
    <cfRule type="expression" dxfId="4" priority="10" stopIfTrue="1">
      <formula>H$15="NG"</formula>
    </cfRule>
  </conditionalFormatting>
  <conditionalFormatting sqref="H9:AF11">
    <cfRule type="expression" dxfId="3" priority="1" stopIfTrue="1">
      <formula>H$17="NA"</formula>
    </cfRule>
    <cfRule type="expression" dxfId="2" priority="2" stopIfTrue="1">
      <formula>H$17="NG"</formula>
    </cfRule>
  </conditionalFormatting>
  <dataValidations count="10">
    <dataValidation allowBlank="1" showInputMessage="1" showErrorMessage="1" promptTitle="Condition Type" prompt="N : Normal _x000a_A : Abnormal _x000a_B : Boundary" sqref="G12"/>
    <dataValidation allowBlank="1" showInputMessage="1" showErrorMessage="1" promptTitle="Enter" prompt="Name of the person who performed the test" sqref="G13"/>
    <dataValidation allowBlank="1" showInputMessage="1" showErrorMessage="1" promptTitle="Testing Date" prompt="Date on which test was performed in yyyy/mm/dd format" sqref="G14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5"/>
    <dataValidation allowBlank="1" showInputMessage="1" showErrorMessage="1" promptTitle="Bug ID" prompt="Unique ID throughout the project._x000a_For every Bug found during Test as well as Re-Test, a new Bug ID needs to be entered here (as a comma seperated value)" sqref="B16:E16"/>
    <dataValidation allowBlank="1" showInputMessage="1" showErrorMessage="1" promptTitle="PCL sheet name" prompt=" " sqref="F16:G16"/>
    <dataValidation type="list" allowBlank="1" showInputMessage="1" showErrorMessage="1" sqref="H15:AF15">
      <formula1>"OK, NG, NA, PT"</formula1>
    </dataValidation>
    <dataValidation type="list" allowBlank="1" showInputMessage="1" showErrorMessage="1" sqref="H12:AF12">
      <formula1>"N, A, B"</formula1>
    </dataValidation>
    <dataValidation allowBlank="1" showInputMessage="1" showErrorMessage="1" promptTitle="Check points" prompt="that need / need not be executed" sqref="WVI9:WVI11 IW9:IW11 SS9:SS11 ACO9:ACO11 AMK9:AMK11 AWG9:AWG11 BGC9:BGC11 BPY9:BPY11 BZU9:BZU11 CJQ9:CJQ11 CTM9:CTM11 DDI9:DDI11 DNE9:DNE11 DXA9:DXA11 EGW9:EGW11 EQS9:EQS11 FAO9:FAO11 FKK9:FKK11 FUG9:FUG11 GEC9:GEC11 GNY9:GNY11 GXU9:GXU11 HHQ9:HHQ11 HRM9:HRM11 IBI9:IBI11 ILE9:ILE11 IVA9:IVA11 JEW9:JEW11 JOS9:JOS11 JYO9:JYO11 KIK9:KIK11 KSG9:KSG11 LCC9:LCC11 LLY9:LLY11 LVU9:LVU11 MFQ9:MFQ11 MPM9:MPM11 MZI9:MZI11 NJE9:NJE11 NTA9:NTA11 OCW9:OCW11 OMS9:OMS11 OWO9:OWO11 PGK9:PGK11 PQG9:PQG11 QAC9:QAC11 QJY9:QJY11 QTU9:QTU11 RDQ9:RDQ11 RNM9:RNM11 RXI9:RXI11 SHE9:SHE11 SRA9:SRA11 TAW9:TAW11 TKS9:TKS11 TUO9:TUO11 UEK9:UEK11 UOG9:UOG11 UYC9:UYC11 VHY9:VHY11 VRU9:VRU11 WBQ9:WBQ11 WLM9:WLM11 A8"/>
    <dataValidation allowBlank="1" showInputMessage="1" showErrorMessage="1" promptTitle="Input conditions" prompt="that need to be checked." sqref="A4:A7 IW6:IW7 SS6:SS7 ACO6:ACO7 AMK6:AMK7 AWG6:AWG7 BGC6:BGC7 BPY6:BPY7 BZU6:BZU7 CJQ6:CJQ7 CTM6:CTM7 DDI6:DDI7 DNE6:DNE7 DXA6:DXA7 EGW6:EGW7 EQS6:EQS7 FAO6:FAO7 FKK6:FKK7 FUG6:FUG7 GEC6:GEC7 GNY6:GNY7 GXU6:GXU7 HHQ6:HHQ7 HRM6:HRM7 IBI6:IBI7 ILE6:ILE7 IVA6:IVA7 JEW6:JEW7 JOS6:JOS7 JYO6:JYO7 KIK6:KIK7 KSG6:KSG7 LCC6:LCC7 LLY6:LLY7 LVU6:LVU7 MFQ6:MFQ7 MPM6:MPM7 MZI6:MZI7 NJE6:NJE7 NTA6:NTA7 OCW6:OCW7 OMS6:OMS7 OWO6:OWO7 PGK6:PGK7 PQG6:PQG7 QAC6:QAC7 QJY6:QJY7 QTU6:QTU7 RDQ6:RDQ7 RNM6:RNM7 RXI6:RXI7 SHE6:SHE7 SRA6:SRA7 TAW6:TAW7 TKS6:TKS7 TUO6:TUO7 UEK6:UEK7 UOG6:UOG7 UYC6:UYC7 VHY6:VHY7 VRU6:VRU7 WBQ6:WBQ7 WLM6:WLM7 WVI6:WVI7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80" t="s">
        <v>8</v>
      </c>
      <c r="C1" s="181"/>
      <c r="D1" s="181"/>
      <c r="E1" s="182"/>
      <c r="F1" s="180" t="s">
        <v>6</v>
      </c>
      <c r="G1" s="181"/>
      <c r="H1" s="181"/>
      <c r="I1" s="181"/>
      <c r="J1" s="181"/>
      <c r="K1" s="181"/>
      <c r="L1" s="181"/>
      <c r="M1" s="181"/>
      <c r="N1" s="181"/>
      <c r="O1" s="182"/>
      <c r="P1" s="183" t="s">
        <v>0</v>
      </c>
      <c r="Q1" s="184"/>
      <c r="R1" s="184"/>
      <c r="S1" s="185"/>
      <c r="T1" s="180" t="s">
        <v>9</v>
      </c>
      <c r="U1" s="181"/>
      <c r="V1" s="181"/>
      <c r="W1" s="181"/>
      <c r="X1" s="181"/>
      <c r="Y1" s="181"/>
      <c r="Z1" s="182"/>
      <c r="AA1" s="186" t="s">
        <v>10</v>
      </c>
      <c r="AB1" s="186"/>
      <c r="AC1" s="172"/>
      <c r="AD1" s="172"/>
      <c r="AE1" s="172"/>
      <c r="AF1" s="173"/>
    </row>
    <row r="2" spans="1:32" ht="20.100000000000001" customHeight="1" thickBot="1">
      <c r="A2" s="64" t="s">
        <v>4</v>
      </c>
      <c r="B2" s="174" t="s">
        <v>8</v>
      </c>
      <c r="C2" s="175"/>
      <c r="D2" s="175"/>
      <c r="E2" s="176"/>
      <c r="F2" s="174" t="s">
        <v>7</v>
      </c>
      <c r="G2" s="175"/>
      <c r="H2" s="176"/>
      <c r="I2" s="146" t="s">
        <v>11</v>
      </c>
      <c r="J2" s="147"/>
      <c r="K2" s="147"/>
      <c r="L2" s="147"/>
      <c r="M2" s="147"/>
      <c r="N2" s="147"/>
      <c r="O2" s="148"/>
      <c r="P2" s="174"/>
      <c r="Q2" s="175"/>
      <c r="R2" s="175"/>
      <c r="S2" s="175"/>
      <c r="T2" s="175"/>
      <c r="U2" s="175"/>
      <c r="V2" s="175"/>
      <c r="W2" s="175"/>
      <c r="X2" s="175"/>
      <c r="Y2" s="175"/>
      <c r="Z2" s="176"/>
      <c r="AA2" s="177" t="s">
        <v>12</v>
      </c>
      <c r="AB2" s="178"/>
      <c r="AC2" s="174" t="s">
        <v>13</v>
      </c>
      <c r="AD2" s="175"/>
      <c r="AE2" s="175"/>
      <c r="AF2" s="179"/>
    </row>
    <row r="3" spans="1:32" ht="37.5" customHeight="1" thickBot="1">
      <c r="A3" s="66" t="s">
        <v>42</v>
      </c>
      <c r="B3" s="10"/>
      <c r="C3" s="10"/>
      <c r="D3" s="10"/>
      <c r="E3" s="10"/>
      <c r="F3" s="10"/>
      <c r="G3" s="65" t="s">
        <v>43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58" t="s">
        <v>44</v>
      </c>
      <c r="B4" s="194" t="s">
        <v>21</v>
      </c>
      <c r="C4" s="194"/>
      <c r="D4" s="194"/>
      <c r="E4" s="194"/>
      <c r="F4" s="194"/>
      <c r="G4" s="19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9"/>
      <c r="B5" s="163" t="s">
        <v>22</v>
      </c>
      <c r="C5" s="195"/>
      <c r="D5" s="195"/>
      <c r="E5" s="195"/>
      <c r="F5" s="195"/>
      <c r="G5" s="195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59"/>
      <c r="B6" s="21"/>
      <c r="C6" s="189" t="s">
        <v>23</v>
      </c>
      <c r="D6" s="139"/>
      <c r="E6" s="139"/>
      <c r="F6" s="139"/>
      <c r="G6" s="139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59"/>
      <c r="B7" s="21"/>
      <c r="C7" s="187"/>
      <c r="D7" s="163"/>
      <c r="E7" s="139"/>
      <c r="F7" s="139"/>
      <c r="G7" s="139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59"/>
      <c r="B8" s="21"/>
      <c r="C8" s="187"/>
      <c r="D8" s="163"/>
      <c r="E8" s="139"/>
      <c r="F8" s="139"/>
      <c r="G8" s="139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59"/>
      <c r="B9" s="21"/>
      <c r="C9" s="201" t="s">
        <v>24</v>
      </c>
      <c r="D9" s="139"/>
      <c r="E9" s="139"/>
      <c r="F9" s="139"/>
      <c r="G9" s="139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59"/>
      <c r="B10" s="21"/>
      <c r="C10" s="187"/>
      <c r="D10" s="163"/>
      <c r="E10" s="139"/>
      <c r="F10" s="139"/>
      <c r="G10" s="139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59"/>
      <c r="B11" s="21"/>
      <c r="C11" s="187"/>
      <c r="D11" s="163"/>
      <c r="E11" s="139"/>
      <c r="F11" s="139"/>
      <c r="G11" s="139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59"/>
      <c r="B12" s="21"/>
      <c r="C12" s="163"/>
      <c r="D12" s="139"/>
      <c r="E12" s="139"/>
      <c r="F12" s="139"/>
      <c r="G12" s="139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59"/>
      <c r="B13" s="21"/>
      <c r="C13" s="187"/>
      <c r="D13" s="163"/>
      <c r="E13" s="139"/>
      <c r="F13" s="139"/>
      <c r="G13" s="139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159"/>
      <c r="B14" s="21"/>
      <c r="C14" s="187"/>
      <c r="D14" s="163"/>
      <c r="E14" s="139"/>
      <c r="F14" s="139"/>
      <c r="G14" s="139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70" t="s">
        <v>45</v>
      </c>
      <c r="B15" s="193" t="s">
        <v>25</v>
      </c>
      <c r="C15" s="194"/>
      <c r="D15" s="194"/>
      <c r="E15" s="194"/>
      <c r="F15" s="194"/>
      <c r="G15" s="194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171"/>
      <c r="B16" s="28"/>
      <c r="C16" s="134" t="s">
        <v>26</v>
      </c>
      <c r="D16" s="135"/>
      <c r="E16" s="135"/>
      <c r="F16" s="135"/>
      <c r="G16" s="135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71"/>
      <c r="B17" s="200"/>
      <c r="C17" s="134" t="s">
        <v>27</v>
      </c>
      <c r="D17" s="135"/>
      <c r="E17" s="135"/>
      <c r="F17" s="135"/>
      <c r="G17" s="135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71"/>
      <c r="B18" s="200"/>
      <c r="C18" s="134" t="s">
        <v>28</v>
      </c>
      <c r="D18" s="135"/>
      <c r="E18" s="135"/>
      <c r="F18" s="135"/>
      <c r="G18" s="135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71"/>
      <c r="B19" s="200"/>
      <c r="C19" s="134" t="s">
        <v>29</v>
      </c>
      <c r="D19" s="135"/>
      <c r="E19" s="135"/>
      <c r="F19" s="135"/>
      <c r="G19" s="135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71"/>
      <c r="B20" s="200"/>
      <c r="C20" s="134"/>
      <c r="D20" s="135"/>
      <c r="E20" s="135"/>
      <c r="F20" s="135"/>
      <c r="G20" s="135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171"/>
      <c r="B21" s="200"/>
      <c r="C21" s="134"/>
      <c r="D21" s="135"/>
      <c r="E21" s="135"/>
      <c r="F21" s="135"/>
      <c r="G21" s="135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171"/>
      <c r="B22" s="200"/>
      <c r="C22" s="134"/>
      <c r="D22" s="135"/>
      <c r="E22" s="135"/>
      <c r="F22" s="135"/>
      <c r="G22" s="135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202"/>
      <c r="B23" s="200"/>
      <c r="C23" s="203"/>
      <c r="D23" s="204"/>
      <c r="E23" s="204"/>
      <c r="F23" s="204"/>
      <c r="G23" s="204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50" t="s">
        <v>46</v>
      </c>
      <c r="B24" s="152"/>
      <c r="C24" s="153"/>
      <c r="D24" s="153"/>
      <c r="E24" s="153"/>
      <c r="F24" s="154"/>
      <c r="G24" s="35" t="s">
        <v>36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51"/>
      <c r="B25" s="155"/>
      <c r="C25" s="156"/>
      <c r="D25" s="156"/>
      <c r="E25" s="156"/>
      <c r="F25" s="157"/>
      <c r="G25" s="39" t="s">
        <v>37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51"/>
      <c r="B26" s="155"/>
      <c r="C26" s="156"/>
      <c r="D26" s="156"/>
      <c r="E26" s="156"/>
      <c r="F26" s="157"/>
      <c r="G26" s="39" t="s">
        <v>38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51"/>
      <c r="B27" s="155"/>
      <c r="C27" s="156"/>
      <c r="D27" s="156"/>
      <c r="E27" s="156"/>
      <c r="F27" s="157"/>
      <c r="G27" s="46" t="s">
        <v>39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41" t="s">
        <v>47</v>
      </c>
      <c r="B28" s="143" t="s">
        <v>40</v>
      </c>
      <c r="C28" s="143"/>
      <c r="D28" s="143"/>
      <c r="E28" s="143"/>
      <c r="F28" s="144" t="str">
        <f>GetBugSheetName()</f>
        <v>Template_</v>
      </c>
      <c r="G28" s="145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42"/>
      <c r="B29" s="146" t="s">
        <v>30</v>
      </c>
      <c r="C29" s="147"/>
      <c r="D29" s="147"/>
      <c r="E29" s="148"/>
      <c r="F29" s="146"/>
      <c r="G29" s="149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15:A23"/>
    <mergeCell ref="B15:G15"/>
    <mergeCell ref="C16:G16"/>
    <mergeCell ref="B17:B23"/>
    <mergeCell ref="C19:G19"/>
    <mergeCell ref="C20:G20"/>
    <mergeCell ref="C22:G22"/>
    <mergeCell ref="C23:G23"/>
    <mergeCell ref="C21:G21"/>
    <mergeCell ref="C17:G17"/>
    <mergeCell ref="C18:G18"/>
    <mergeCell ref="A24:A27"/>
    <mergeCell ref="B24:F24"/>
    <mergeCell ref="B25:F25"/>
    <mergeCell ref="B26:F26"/>
    <mergeCell ref="B27:F27"/>
    <mergeCell ref="A4:A14"/>
    <mergeCell ref="B4:G4"/>
    <mergeCell ref="B5:G5"/>
    <mergeCell ref="C6:G6"/>
    <mergeCell ref="D8:G8"/>
    <mergeCell ref="D13:G13"/>
    <mergeCell ref="C9:G9"/>
    <mergeCell ref="C10:C11"/>
    <mergeCell ref="D10:G10"/>
    <mergeCell ref="D11:G11"/>
    <mergeCell ref="C7:C8"/>
    <mergeCell ref="D7:G7"/>
    <mergeCell ref="D14:G14"/>
    <mergeCell ref="C12:G12"/>
    <mergeCell ref="C13:C14"/>
    <mergeCell ref="T1:Z1"/>
    <mergeCell ref="AA1:AB1"/>
    <mergeCell ref="AC1:AF1"/>
    <mergeCell ref="F2:H2"/>
    <mergeCell ref="B1:E1"/>
    <mergeCell ref="F1:O1"/>
    <mergeCell ref="B2:E2"/>
    <mergeCell ref="I2:O2"/>
    <mergeCell ref="P2:Z2"/>
    <mergeCell ref="AA2:AB2"/>
    <mergeCell ref="P1:S1"/>
    <mergeCell ref="AC2:AF2"/>
    <mergeCell ref="A28:A29"/>
    <mergeCell ref="B28:E28"/>
    <mergeCell ref="F28:G28"/>
    <mergeCell ref="B29:E29"/>
    <mergeCell ref="F29:G29"/>
  </mergeCells>
  <phoneticPr fontId="2"/>
  <conditionalFormatting sqref="H3:AF29">
    <cfRule type="expression" dxfId="45" priority="1" stopIfTrue="1">
      <formula>H$27="NA"</formula>
    </cfRule>
    <cfRule type="expression" dxfId="44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38</vt:i4>
      </vt:variant>
    </vt:vector>
  </HeadingPairs>
  <TitlesOfParts>
    <vt:vector size="44" baseType="lpstr">
      <vt:lpstr>Summary</vt:lpstr>
      <vt:lpstr>Page_Load</vt:lpstr>
      <vt:lpstr>Display_Records_Button</vt:lpstr>
      <vt:lpstr>1_Click</vt:lpstr>
      <vt:lpstr>2_Click</vt:lpstr>
      <vt:lpstr>Template</vt:lpstr>
      <vt:lpstr>'1_Click'!BugCount</vt:lpstr>
      <vt:lpstr>'2_Click'!BugCount</vt:lpstr>
      <vt:lpstr>Display_Records_Button!BugCount</vt:lpstr>
      <vt:lpstr>Page_Load!BugCount</vt:lpstr>
      <vt:lpstr>BugCount</vt:lpstr>
      <vt:lpstr>'1_Click'!BugSheetName</vt:lpstr>
      <vt:lpstr>'2_Click'!BugSheetName</vt:lpstr>
      <vt:lpstr>Display_Records_Button!BugSheetName</vt:lpstr>
      <vt:lpstr>Page_Load!BugSheetName</vt:lpstr>
      <vt:lpstr>BugSheetName</vt:lpstr>
      <vt:lpstr>NewPCL</vt:lpstr>
      <vt:lpstr>NewPCL_Row</vt:lpstr>
      <vt:lpstr>'1_Click'!Print_Area</vt:lpstr>
      <vt:lpstr>'2_Click'!Print_Area</vt:lpstr>
      <vt:lpstr>Display_Records_Button!Print_Area</vt:lpstr>
      <vt:lpstr>Page_Load!Print_Area</vt:lpstr>
      <vt:lpstr>Summary!Print_Area</vt:lpstr>
      <vt:lpstr>Template!Print_Area</vt:lpstr>
      <vt:lpstr>'1_Click'!Print_Titles</vt:lpstr>
      <vt:lpstr>'2_Click'!Print_Titles</vt:lpstr>
      <vt:lpstr>Display_Records_Button!Print_Titles</vt:lpstr>
      <vt:lpstr>Page_Load!Print_Titles</vt:lpstr>
      <vt:lpstr>Summary!Print_Titles</vt:lpstr>
      <vt:lpstr>Template!Print_Titles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'1_Click'!TestResult</vt:lpstr>
      <vt:lpstr>'2_Click'!TestResult</vt:lpstr>
      <vt:lpstr>Display_Records_Button!TestResult</vt:lpstr>
      <vt:lpstr>Page_Load!TestResult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Pranit</dc:creator>
  <cp:lastModifiedBy>Pranit</cp:lastModifiedBy>
  <cp:lastPrinted>2010-03-26T11:46:07Z</cp:lastPrinted>
  <dcterms:created xsi:type="dcterms:W3CDTF">2005-06-14T08:18:38Z</dcterms:created>
  <dcterms:modified xsi:type="dcterms:W3CDTF">2019-08-10T09:17:26Z</dcterms:modified>
</cp:coreProperties>
</file>